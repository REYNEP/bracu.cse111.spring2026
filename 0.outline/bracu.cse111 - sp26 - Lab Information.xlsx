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s" sheetId="1" r:id="rId5"/>
    <sheet state="visible" name="Lab Faculty Email" sheetId="2" r:id="rId6"/>
    <sheet state="visible" name="Copy of details" sheetId="3" r:id="rId7"/>
    <sheet state="visible" name="Faculty_Info" sheetId="4" r:id="rId8"/>
    <sheet state="visible" name="Day-wise" sheetId="5" r:id="rId9"/>
  </sheets>
  <definedNames/>
  <calcPr/>
</workbook>
</file>

<file path=xl/sharedStrings.xml><?xml version="1.0" encoding="utf-8"?>
<sst xmlns="http://schemas.openxmlformats.org/spreadsheetml/2006/main" count="1740" uniqueCount="939">
  <si>
    <t>Section</t>
  </si>
  <si>
    <t>Lab Faculty</t>
  </si>
  <si>
    <t>Lab Day</t>
  </si>
  <si>
    <t>Lab Time</t>
  </si>
  <si>
    <t>Lab Room Number</t>
  </si>
  <si>
    <t>Slack Invitation and buX Enrollment Link</t>
  </si>
  <si>
    <t>Lab Faculty 1's Initial</t>
  </si>
  <si>
    <t>Lab Faculty 2's Initial</t>
  </si>
  <si>
    <t>Faculty Email - 1</t>
  </si>
  <si>
    <t>Faculty Email - 2</t>
  </si>
  <si>
    <t>CSE111-01</t>
  </si>
  <si>
    <t>ANK</t>
  </si>
  <si>
    <t>AIB,ATY</t>
  </si>
  <si>
    <t>TUE</t>
  </si>
  <si>
    <t>09B-08L</t>
  </si>
  <si>
    <t>https://join.slack.com/t/cse111spring2026/signup</t>
  </si>
  <si>
    <t>CSE111-02</t>
  </si>
  <si>
    <t>TAW</t>
  </si>
  <si>
    <t>TAW,AOH</t>
  </si>
  <si>
    <t>WED</t>
  </si>
  <si>
    <t>12F-32L</t>
  </si>
  <si>
    <t>09B-09L</t>
  </si>
  <si>
    <t>CSE111-03</t>
  </si>
  <si>
    <t>CAKM,HBN</t>
  </si>
  <si>
    <t>12D-27L</t>
  </si>
  <si>
    <t>09B-10L</t>
  </si>
  <si>
    <t>CSE111-04</t>
  </si>
  <si>
    <t>TAW,RKBM</t>
  </si>
  <si>
    <t>THU</t>
  </si>
  <si>
    <t>09B-11L</t>
  </si>
  <si>
    <t>CSE111-05</t>
  </si>
  <si>
    <t>ADU</t>
  </si>
  <si>
    <t>HBN,AOH</t>
  </si>
  <si>
    <t>ateya.ahmed@bracu.ac.bd</t>
  </si>
  <si>
    <t>09E-21L</t>
  </si>
  <si>
    <t>CSE111-06</t>
  </si>
  <si>
    <t>FGZ,AVB</t>
  </si>
  <si>
    <t>CSE111-07</t>
  </si>
  <si>
    <t>RKBM</t>
  </si>
  <si>
    <t>AFA,CRHB</t>
  </si>
  <si>
    <t>ext.anika.islam@bracu.ac.bd</t>
  </si>
  <si>
    <t>CSE111-08</t>
  </si>
  <si>
    <t>KNI</t>
  </si>
  <si>
    <t>TMD,ADU</t>
  </si>
  <si>
    <t>CSE111-09</t>
  </si>
  <si>
    <t>ANV,CNFH</t>
  </si>
  <si>
    <t>https://bux-home.bracu.ac.bd/courses/course-v1:buX+CSE111+2026_Spring/about</t>
  </si>
  <si>
    <t>CSE111-10</t>
  </si>
  <si>
    <t>AIB</t>
  </si>
  <si>
    <t>AVB,QUZA</t>
  </si>
  <si>
    <t>CSE111-11</t>
  </si>
  <si>
    <t>AVB,FEK</t>
  </si>
  <si>
    <t>CSE111-13</t>
  </si>
  <si>
    <t>ATY,CSSA</t>
  </si>
  <si>
    <t>CSE111-14</t>
  </si>
  <si>
    <t>AFA</t>
  </si>
  <si>
    <t>CNFH,AOH</t>
  </si>
  <si>
    <t>CSE111-15</t>
  </si>
  <si>
    <t>MAU</t>
  </si>
  <si>
    <t>AFA,AVB</t>
  </si>
  <si>
    <t>CSE111-16</t>
  </si>
  <si>
    <t>ANK,AFA</t>
  </si>
  <si>
    <t>CSE111-17</t>
  </si>
  <si>
    <t>QUZA</t>
  </si>
  <si>
    <t>KNI,YND</t>
  </si>
  <si>
    <t>abu.ibrahim@bracu.ac.bd</t>
  </si>
  <si>
    <t>tawhid.anwar@bracu.ac.bd</t>
  </si>
  <si>
    <t>fakhruddin.gazzali@bracu.ac.bd</t>
  </si>
  <si>
    <t>tamkin.mahmud@bracu.ac.bd</t>
  </si>
  <si>
    <t>ext.anonto.shuvo@bracu.ac.bd</t>
  </si>
  <si>
    <t>avinandan@bracu.ac.bd</t>
  </si>
  <si>
    <t>ext.nafis.chowdhury@bracu.ac.bd</t>
  </si>
  <si>
    <t>afroza.akther@bracu.ac.bd</t>
  </si>
  <si>
    <t>abdullah.alnakib@bracu.ac.bd</t>
  </si>
  <si>
    <t>nazia.iqbal@bracu.ac.bd</t>
  </si>
  <si>
    <t>ext.abu.hasme@bracu.ac.bd</t>
  </si>
  <si>
    <t>ext.hamim.nasim@bracu.ac.bd</t>
  </si>
  <si>
    <t>mohammad.rakibul@bracu.ac.bd</t>
  </si>
  <si>
    <t>ext.ruhan.habib@bracu.ac.bd</t>
  </si>
  <si>
    <t>ahmed.ruhan@bracu.ac.bd</t>
  </si>
  <si>
    <t>quazi.ashikur@bracu.ac.bd</t>
  </si>
  <si>
    <t>farden.khan@bracu.ac.bd</t>
  </si>
  <si>
    <t>ext.sadman.alif@bracu.ac.bd</t>
  </si>
  <si>
    <t>yasmin.nadia@bracu.ac.bd</t>
  </si>
  <si>
    <t>Slack Invitation Link (Theory+Lab)</t>
  </si>
  <si>
    <t>01</t>
  </si>
  <si>
    <t>ATY</t>
  </si>
  <si>
    <t>02</t>
  </si>
  <si>
    <t>AOH</t>
  </si>
  <si>
    <t>03</t>
  </si>
  <si>
    <t>CAKM</t>
  </si>
  <si>
    <t>HBN</t>
  </si>
  <si>
    <t>04</t>
  </si>
  <si>
    <t>05</t>
  </si>
  <si>
    <t>06</t>
  </si>
  <si>
    <t>FGZ</t>
  </si>
  <si>
    <t>AVB</t>
  </si>
  <si>
    <t>07</t>
  </si>
  <si>
    <t>CRHB</t>
  </si>
  <si>
    <t>08</t>
  </si>
  <si>
    <t>TMD</t>
  </si>
  <si>
    <t>09</t>
  </si>
  <si>
    <t>ANV</t>
  </si>
  <si>
    <t>CNFH</t>
  </si>
  <si>
    <t>10</t>
  </si>
  <si>
    <t>11</t>
  </si>
  <si>
    <t>FEK</t>
  </si>
  <si>
    <t>13</t>
  </si>
  <si>
    <t>CSSA</t>
  </si>
  <si>
    <t>14</t>
  </si>
  <si>
    <t>15</t>
  </si>
  <si>
    <t>16</t>
  </si>
  <si>
    <t>17</t>
  </si>
  <si>
    <t>YND</t>
  </si>
  <si>
    <t>TUESDAY</t>
  </si>
  <si>
    <t>WEDNESDAY</t>
  </si>
  <si>
    <t>AAR</t>
  </si>
  <si>
    <t>annajiat@bracu.ac.bd</t>
  </si>
  <si>
    <t>Mr. Annajiat Alim Rasel</t>
  </si>
  <si>
    <t>Senior Lecturer</t>
  </si>
  <si>
    <t>Full Time</t>
  </si>
  <si>
    <t>4G20</t>
  </si>
  <si>
    <t>ACH</t>
  </si>
  <si>
    <t>amitabha@bracu.ac.bd</t>
  </si>
  <si>
    <t>Dr. Amitabha Chakrabarty</t>
  </si>
  <si>
    <t>Professor</t>
  </si>
  <si>
    <t>4G25</t>
  </si>
  <si>
    <t>Mr. Ahmed Mahir Ruhan</t>
  </si>
  <si>
    <t>Lecturer</t>
  </si>
  <si>
    <t>4L93</t>
  </si>
  <si>
    <t>Afroza Akhter</t>
  </si>
  <si>
    <t>4K79</t>
  </si>
  <si>
    <t>AFQ</t>
  </si>
  <si>
    <t>ashfaqul.haque@bracu.ac.bd</t>
  </si>
  <si>
    <t>Mohammed Ashfaqul Haque</t>
  </si>
  <si>
    <t>4N137</t>
  </si>
  <si>
    <t>Mr. Md. Abu Ibrahim</t>
  </si>
  <si>
    <t>4J59</t>
  </si>
  <si>
    <t>AJA</t>
  </si>
  <si>
    <t>abid.jahan@bracu.ac.bd</t>
  </si>
  <si>
    <t>Mr. Abid Jahan Apon</t>
  </si>
  <si>
    <t>4M116</t>
  </si>
  <si>
    <t>AKJ</t>
  </si>
  <si>
    <t>anjum.akib@bracu.ac.bd</t>
  </si>
  <si>
    <t>Akib Anjum</t>
  </si>
  <si>
    <t>4N161</t>
  </si>
  <si>
    <t>AKTD</t>
  </si>
  <si>
    <t>akhtaruzzaman.adnan@bracu.ac.bd</t>
  </si>
  <si>
    <t>Md. Akhtaruzaman Adnan</t>
  </si>
  <si>
    <t>4G16</t>
  </si>
  <si>
    <t>ALB</t>
  </si>
  <si>
    <t>anindita.labonno@bracu.ac.bd</t>
  </si>
  <si>
    <t>Anindita Labonno</t>
  </si>
  <si>
    <t>4L88</t>
  </si>
  <si>
    <t>AMK</t>
  </si>
  <si>
    <t>abu.khan@bracu.ac.bd</t>
  </si>
  <si>
    <t>Dr. Abu Mohammad Khan</t>
  </si>
  <si>
    <t>Associate Professor</t>
  </si>
  <si>
    <t>4G26</t>
  </si>
  <si>
    <t>Mr. Abdullah Al Nakib</t>
  </si>
  <si>
    <t>4J58</t>
  </si>
  <si>
    <t>ANKH</t>
  </si>
  <si>
    <t>anika.ahmed@bracu.ac.bd</t>
  </si>
  <si>
    <t>Anika Ahmed</t>
  </si>
  <si>
    <t>4K72</t>
  </si>
  <si>
    <t>ANWE</t>
  </si>
  <si>
    <t>abdullah.nayem@bracu.ac.bd</t>
  </si>
  <si>
    <t>Abdullah Nayem Wasi Emran</t>
  </si>
  <si>
    <t>4N146</t>
  </si>
  <si>
    <t>AQT</t>
  </si>
  <si>
    <t>aniqa.tabassum@bracu.ac.bd</t>
  </si>
  <si>
    <t>Aniqa Tabassum</t>
  </si>
  <si>
    <t>4N150</t>
  </si>
  <si>
    <t>AQU</t>
  </si>
  <si>
    <t>aquib.azmain@bracu.ac.bd</t>
  </si>
  <si>
    <t>Mr. Md. Aquib Azmain</t>
  </si>
  <si>
    <t>4M104</t>
  </si>
  <si>
    <t>ARD</t>
  </si>
  <si>
    <t>ayman.rasheed@bracu.ac.bd</t>
  </si>
  <si>
    <t>Mr. Ayman Rasheed</t>
  </si>
  <si>
    <t>4M129</t>
  </si>
  <si>
    <t>ARF</t>
  </si>
  <si>
    <t>arif.shakil@bracu.ac.bd</t>
  </si>
  <si>
    <t>Mr. Arif Shakil</t>
  </si>
  <si>
    <t>4G03</t>
  </si>
  <si>
    <t>ART</t>
  </si>
  <si>
    <t>atanu.roy@bracu.ac.bd</t>
  </si>
  <si>
    <t>Atanu Roy</t>
  </si>
  <si>
    <t>4M126</t>
  </si>
  <si>
    <t>ASA</t>
  </si>
  <si>
    <t>ashraful.alam@bracu.ac.bd</t>
  </si>
  <si>
    <t>Dr. Md. Ashraful Alam</t>
  </si>
  <si>
    <t>4G24</t>
  </si>
  <si>
    <t>ASAK</t>
  </si>
  <si>
    <t>arnob.ankon@bracu.ac.bd</t>
  </si>
  <si>
    <t>Arnob Saha Ankon</t>
  </si>
  <si>
    <t>4M102</t>
  </si>
  <si>
    <t>ASRF</t>
  </si>
  <si>
    <t>ashraful.islam@bracu.ac.bd</t>
  </si>
  <si>
    <t>Ashraful Islam Shanto Sikder</t>
  </si>
  <si>
    <t>4P173</t>
  </si>
  <si>
    <t>Ateya Ahmed Subarna</t>
  </si>
  <si>
    <t>4K77</t>
  </si>
  <si>
    <t>Mr. Avinandan Banerjee</t>
  </si>
  <si>
    <t>4M118</t>
  </si>
  <si>
    <t>AYO</t>
  </si>
  <si>
    <t>ariyan.hossain@bracu.ac.bd</t>
  </si>
  <si>
    <t>Ariyan Hossain</t>
  </si>
  <si>
    <t>4N153</t>
  </si>
  <si>
    <t>BDH</t>
  </si>
  <si>
    <t>badrul.hossain@bracu.ac.bd</t>
  </si>
  <si>
    <t>Mr. Mohammad Badrul Hossain</t>
  </si>
  <si>
    <t>4J67</t>
  </si>
  <si>
    <t>BIJS</t>
  </si>
  <si>
    <t>bijoy.saiem@bracu.ac.bd</t>
  </si>
  <si>
    <t>Bijoy Ahmed Saiem</t>
  </si>
  <si>
    <t>4M130</t>
  </si>
  <si>
    <t>CMR</t>
  </si>
  <si>
    <t>rahman.mofizur@bracu.ac.bd</t>
  </si>
  <si>
    <t>Dr. Chowdhury Mofizur Rahman</t>
  </si>
  <si>
    <t>4G18</t>
  </si>
  <si>
    <t>DFD</t>
  </si>
  <si>
    <t>fabian.dofadar@bracu.ac.bd</t>
  </si>
  <si>
    <t>Mr. Dibyo Fabian Dofadar</t>
  </si>
  <si>
    <t>4M106</t>
  </si>
  <si>
    <t>DPU</t>
  </si>
  <si>
    <t>shoaib.ahmed@bracu.ac.bd</t>
  </si>
  <si>
    <t>Mr. Shoaib Ahmed Dipu</t>
  </si>
  <si>
    <t>4J63</t>
  </si>
  <si>
    <t>DZK</t>
  </si>
  <si>
    <t>ziaul.karim@bracu.ac.bd</t>
  </si>
  <si>
    <t>Mr. Dewan Ziaul Karim</t>
  </si>
  <si>
    <t>4G05</t>
  </si>
  <si>
    <t>EHQ</t>
  </si>
  <si>
    <t>ehtashamul.haque@bracu.ac.bd</t>
  </si>
  <si>
    <t>Ehtashamul Haque</t>
  </si>
  <si>
    <t>4N168</t>
  </si>
  <si>
    <t>FARS</t>
  </si>
  <si>
    <t>farhan.shahriar@bracu.ac.bd</t>
  </si>
  <si>
    <t>Ahmad Farhan Shahriar Chowdhury</t>
  </si>
  <si>
    <t>4N145</t>
  </si>
  <si>
    <t>FBAW</t>
  </si>
  <si>
    <t>faria.awal@bracu.ac.bd</t>
  </si>
  <si>
    <t>Faria Binta Awal</t>
  </si>
  <si>
    <t>4K84</t>
  </si>
  <si>
    <t>FDC</t>
  </si>
  <si>
    <t>farida.chowdhury@bracu.ac.bd</t>
  </si>
  <si>
    <t>Dr. Farida Chowdhury</t>
  </si>
  <si>
    <t>4G09</t>
  </si>
  <si>
    <t>Farden Ehsan Khan</t>
  </si>
  <si>
    <t>4M117</t>
  </si>
  <si>
    <t>FFR</t>
  </si>
  <si>
    <t>md.fatin@bracu.ac.bd</t>
  </si>
  <si>
    <t>Md. Fatin Ishraq Faruqui</t>
  </si>
  <si>
    <t>4N169</t>
  </si>
  <si>
    <t>FFU</t>
  </si>
  <si>
    <t>farhan.faruk@bracu.ac.bd</t>
  </si>
  <si>
    <t>Farhan  Faruk</t>
  </si>
  <si>
    <t>4M100</t>
  </si>
  <si>
    <t>Mr. Md. Fakhruddin Gazzali</t>
  </si>
  <si>
    <t>4M103</t>
  </si>
  <si>
    <t>FIC</t>
  </si>
  <si>
    <t>fatiha.ishrar@bracu.ac.bd</t>
  </si>
  <si>
    <t>Fatiha Ishrar Chowdhury</t>
  </si>
  <si>
    <t>4K81</t>
  </si>
  <si>
    <t>FYS</t>
  </si>
  <si>
    <t>farig.sadeque@bracu.ac.bd</t>
  </si>
  <si>
    <t>Dr. Farig Yousuf Sadeque</t>
  </si>
  <si>
    <t>4G29</t>
  </si>
  <si>
    <t>FZN</t>
  </si>
  <si>
    <t>fardin.zubair@bracu.ac.bd</t>
  </si>
  <si>
    <t>Kh.Fardin Zubair Nafis</t>
  </si>
  <si>
    <t>4N155</t>
  </si>
  <si>
    <t>GRA</t>
  </si>
  <si>
    <t>rabiul.alam@bracu.ac.bd</t>
  </si>
  <si>
    <t>Dr. Md. Golam Rabiul Alam</t>
  </si>
  <si>
    <t>4G23</t>
  </si>
  <si>
    <t>HFN</t>
  </si>
  <si>
    <t>araf.noshin@bracu.ac.bd</t>
  </si>
  <si>
    <t>Sheikh Araf Noshin</t>
  </si>
  <si>
    <t>4N144</t>
  </si>
  <si>
    <t>HMH</t>
  </si>
  <si>
    <t>hamidul.hussain@bracu.ac.bd</t>
  </si>
  <si>
    <t>Mir Hamidul Hussain</t>
  </si>
  <si>
    <t>4N167</t>
  </si>
  <si>
    <t>IBA</t>
  </si>
  <si>
    <t>imran.azad@bracu.ac.bd</t>
  </si>
  <si>
    <t>Mr. Md. Imran Bin Azad</t>
  </si>
  <si>
    <t>4G02</t>
  </si>
  <si>
    <t>IBU</t>
  </si>
  <si>
    <t>ipshita.upoma@bracu.ac.bd</t>
  </si>
  <si>
    <t>Ms. Ipshita Bonhi Upoma</t>
  </si>
  <si>
    <t>4K78</t>
  </si>
  <si>
    <t>ITTSC</t>
  </si>
  <si>
    <t>ittehad.chowdhury@bracu.ac.bd</t>
  </si>
  <si>
    <t>Ittehad Saleh Chowdhury</t>
  </si>
  <si>
    <t>4P196</t>
  </si>
  <si>
    <t>KHR</t>
  </si>
  <si>
    <t>khalilur@bracu.ac.bd</t>
  </si>
  <si>
    <t>Dr. Md. Khalilur Rahman</t>
  </si>
  <si>
    <t>4G08</t>
  </si>
  <si>
    <t>KKP</t>
  </si>
  <si>
    <t>kabbya.kantam@bracu.ac.bd</t>
  </si>
  <si>
    <t>Mr. Kabbya Kantam Patwary</t>
  </si>
  <si>
    <t>4J57</t>
  </si>
  <si>
    <t>KKS</t>
  </si>
  <si>
    <t>md.khaliduzzaman@bracu.ac.bd</t>
  </si>
  <si>
    <t>Md. Khaliduzzaman Khan Samrat</t>
  </si>
  <si>
    <t>4M122</t>
  </si>
  <si>
    <t>Ms. Khondoker Nazia Iqbal</t>
  </si>
  <si>
    <t>4K86</t>
  </si>
  <si>
    <t>KYK</t>
  </si>
  <si>
    <t>kaykobad@bracu.ac.bd</t>
  </si>
  <si>
    <t>Dr. Mohammad Kaykobad</t>
  </si>
  <si>
    <t>4G11</t>
  </si>
  <si>
    <t>KZMN</t>
  </si>
  <si>
    <t>kazi.kamruzzaman@bracu.ac.bd</t>
  </si>
  <si>
    <t>Kazi Kamruzzaman Rabbi</t>
  </si>
  <si>
    <t>4N135</t>
  </si>
  <si>
    <t>LBBH</t>
  </si>
  <si>
    <t>labib.hasan@bracu.ac.bd</t>
  </si>
  <si>
    <t>Labib Hasan Khan</t>
  </si>
  <si>
    <t>4N136</t>
  </si>
  <si>
    <t>LRK</t>
  </si>
  <si>
    <t>lara.khanom@bracu.ac.bd</t>
  </si>
  <si>
    <t>Lara khanom</t>
  </si>
  <si>
    <t>4K74</t>
  </si>
  <si>
    <t>MAHR</t>
  </si>
  <si>
    <t>mahrin.tasfe@bracu.ac.bd</t>
  </si>
  <si>
    <t>Mahrin Tasfe</t>
  </si>
  <si>
    <t>4G30</t>
  </si>
  <si>
    <t>MAHS</t>
  </si>
  <si>
    <t>arif.hasan@bracu.ac.bd</t>
  </si>
  <si>
    <t>Md Arif Hasan</t>
  </si>
  <si>
    <t>4P176</t>
  </si>
  <si>
    <t>MAJIJ</t>
  </si>
  <si>
    <t>majisha.jahan@bracu.ac.bd</t>
  </si>
  <si>
    <t>Majisha Jahan Disha</t>
  </si>
  <si>
    <t>4K71</t>
  </si>
  <si>
    <t>MAO</t>
  </si>
  <si>
    <t>mirza.abdullah@bracu.ac.bd</t>
  </si>
  <si>
    <t>Mirza Abdullah Al Noman</t>
  </si>
  <si>
    <t>4N162</t>
  </si>
  <si>
    <t>marshia.nujhat@bracu.ac.bd</t>
  </si>
  <si>
    <t>Marshia Nujhat</t>
  </si>
  <si>
    <t>4K85</t>
  </si>
  <si>
    <t>MDF</t>
  </si>
  <si>
    <t>mohammad.fahim@bracu.ac.bd</t>
  </si>
  <si>
    <t>Mr. Mohammad Fahim</t>
  </si>
  <si>
    <t>4J52</t>
  </si>
  <si>
    <t>MHDE</t>
  </si>
  <si>
    <t>mehedi.emo@bracu.ac.bd</t>
  </si>
  <si>
    <t>Mehedi Hasan Emo</t>
  </si>
  <si>
    <t>4M134</t>
  </si>
  <si>
    <t>MIH</t>
  </si>
  <si>
    <t>iqbal.hossain@bracu.ac.bd</t>
  </si>
  <si>
    <t>Dr. Muhammad Iqbal Hossain</t>
  </si>
  <si>
    <t>4G22</t>
  </si>
  <si>
    <t>MMM</t>
  </si>
  <si>
    <t>mostakim@bracu.ac.bd</t>
  </si>
  <si>
    <t>Mr. Moin Mostakim</t>
  </si>
  <si>
    <t>MNP</t>
  </si>
  <si>
    <t>mushfique.nasir@bracu.ac.bd</t>
  </si>
  <si>
    <t>Mushfique Nasir Probor</t>
  </si>
  <si>
    <t>4L90</t>
  </si>
  <si>
    <t>MNY</t>
  </si>
  <si>
    <t>nur.yanhaona@bracu.ac.bd</t>
  </si>
  <si>
    <t>Dr. Muhammad Nur Yanhaona</t>
  </si>
  <si>
    <t>4G06</t>
  </si>
  <si>
    <t>MOM</t>
  </si>
  <si>
    <t>moynul.moni@bracu.ac.bd</t>
  </si>
  <si>
    <t>Md. Moynul Asik Moni</t>
  </si>
  <si>
    <t>4N158</t>
  </si>
  <si>
    <t>MRIA</t>
  </si>
  <si>
    <t>maria.muna@bracu.ac.bd</t>
  </si>
  <si>
    <t>Ummay Maria  Muna</t>
  </si>
  <si>
    <t>4P180</t>
  </si>
  <si>
    <t>MSA</t>
  </si>
  <si>
    <t>mabdullah@bracu.ac.bd</t>
  </si>
  <si>
    <t>Dr. Matin Saad Abdullah</t>
  </si>
  <si>
    <t>4G04</t>
  </si>
  <si>
    <t>MSAH</t>
  </si>
  <si>
    <t>sakir.hossain@bracu.ac.bd</t>
  </si>
  <si>
    <t>Dr. Md. Sakir Hossain</t>
  </si>
  <si>
    <t>4G17</t>
  </si>
  <si>
    <t>MSI</t>
  </si>
  <si>
    <t>md.saiful.islam@bracu.ac.bd</t>
  </si>
  <si>
    <t>Mr. Md. Saiful Islam</t>
  </si>
  <si>
    <t>4G12</t>
  </si>
  <si>
    <t>MSMA</t>
  </si>
  <si>
    <t>shamim.mia@bracu.ac.bd</t>
  </si>
  <si>
    <t>Mr. Md. Shamim Mia</t>
  </si>
  <si>
    <t>4M110</t>
  </si>
  <si>
    <t>MTSM</t>
  </si>
  <si>
    <t>muhtasim.mahmud@bracu.ac.bd</t>
  </si>
  <si>
    <t>MD. MUHTASIM MAHMUD</t>
  </si>
  <si>
    <t>4M99</t>
  </si>
  <si>
    <t>MUNR</t>
  </si>
  <si>
    <t>abm.muntasir@bracu.ac.bd</t>
  </si>
  <si>
    <t>A B M Muntasir Rahman</t>
  </si>
  <si>
    <t>4L95</t>
  </si>
  <si>
    <t>MVH</t>
  </si>
  <si>
    <t>mohammad.naveed@bracu.ac.bd</t>
  </si>
  <si>
    <t>Mohammad Naveed Hossain</t>
  </si>
  <si>
    <t>4M113</t>
  </si>
  <si>
    <t>MZG</t>
  </si>
  <si>
    <t>ahmed.mayeesha@bracu.ac.bd</t>
  </si>
  <si>
    <t>Ahmed Mayeesha Reza Agomoni</t>
  </si>
  <si>
    <t>4L87</t>
  </si>
  <si>
    <t>NAFR</t>
  </si>
  <si>
    <t>nafiu.rahman@bracu.ac.bd</t>
  </si>
  <si>
    <t>Md Nafiu Rahman</t>
  </si>
  <si>
    <t>4N138</t>
  </si>
  <si>
    <t>NAST</t>
  </si>
  <si>
    <t>nazmus.touhid@bracu.ac.bd</t>
  </si>
  <si>
    <t>Nazmus Sakib Touhid</t>
  </si>
  <si>
    <t>4P195</t>
  </si>
  <si>
    <t>NDT</t>
  </si>
  <si>
    <t>nirjhor.datta@bracu.ac.bd</t>
  </si>
  <si>
    <t>NIRJHOR DATTA</t>
  </si>
  <si>
    <t>4M132</t>
  </si>
  <si>
    <t>NLAM</t>
  </si>
  <si>
    <t>namirul.islam@bracu.ac.bd</t>
  </si>
  <si>
    <t>Namirul Islam</t>
  </si>
  <si>
    <t>4N163</t>
  </si>
  <si>
    <t>NLH</t>
  </si>
  <si>
    <t>niloy.farhan@bracu.ac.bd</t>
  </si>
  <si>
    <t>Niloy Farhan</t>
  </si>
  <si>
    <t>4M123</t>
  </si>
  <si>
    <t>NNC</t>
  </si>
  <si>
    <t>najeefa.chy@bracu.ac.bd</t>
  </si>
  <si>
    <t>Ms. Najeefa Nikhat Choudhury</t>
  </si>
  <si>
    <t>NTR</t>
  </si>
  <si>
    <t>narzu.tarannum@bracu.ac.bd</t>
  </si>
  <si>
    <t>Ms. Narzu Tarannum</t>
  </si>
  <si>
    <t>4G21</t>
  </si>
  <si>
    <t>NZRF</t>
  </si>
  <si>
    <t>niaz.ashraf@bracu.ac.bd</t>
  </si>
  <si>
    <t>Niaz Ashraf Khan</t>
  </si>
  <si>
    <t>4M125</t>
  </si>
  <si>
    <t>NZU</t>
  </si>
  <si>
    <t>nazmul.islam1@bracu.ac.bd</t>
  </si>
  <si>
    <t>Nazmul Islam</t>
  </si>
  <si>
    <t>4M121</t>
  </si>
  <si>
    <t>PBK</t>
  </si>
  <si>
    <t>partha.bhoumik@bracu.ac.bd</t>
  </si>
  <si>
    <t>Mr. Partha Bhoumik</t>
  </si>
  <si>
    <t>4M108</t>
  </si>
  <si>
    <t>PDS</t>
  </si>
  <si>
    <t>purbayan.das@bracu.ac.bd</t>
  </si>
  <si>
    <t>Mr. Purbayan Das</t>
  </si>
  <si>
    <t>4N140</t>
  </si>
  <si>
    <t>PLN</t>
  </si>
  <si>
    <t>pollock.nag@bracu.ac.bd</t>
  </si>
  <si>
    <t>Pollock Nag</t>
  </si>
  <si>
    <t>4M101</t>
  </si>
  <si>
    <t>PSMD</t>
  </si>
  <si>
    <t>prothito.shovon@bracu.ac.bd</t>
  </si>
  <si>
    <t>Prothito Shovon Majumder</t>
  </si>
  <si>
    <t>4M115</t>
  </si>
  <si>
    <t>Quazi Ashikur Rahman</t>
  </si>
  <si>
    <t>4M120</t>
  </si>
  <si>
    <t>RAHA</t>
  </si>
  <si>
    <t>reefat.raha@bracu.ac.bd</t>
  </si>
  <si>
    <t>Farzana Reefat Raha</t>
  </si>
  <si>
    <t>4P178</t>
  </si>
  <si>
    <t>RAK</t>
  </si>
  <si>
    <t>rubayat.ahmed@bracu.ac.bd</t>
  </si>
  <si>
    <t>Mr. Rubayat Ahmed Khan</t>
  </si>
  <si>
    <t>RAS</t>
  </si>
  <si>
    <t>rasel.mia@bracu.ac.bd</t>
  </si>
  <si>
    <t>Md. Rasel Mia</t>
  </si>
  <si>
    <t>4N149</t>
  </si>
  <si>
    <t>RBR</t>
  </si>
  <si>
    <t>rakin.rabbani@bracu.ac.bd</t>
  </si>
  <si>
    <t>Mr. Rakin Bin Rabbani</t>
  </si>
  <si>
    <t>4J60</t>
  </si>
  <si>
    <t>RDW</t>
  </si>
  <si>
    <t>redowanul.akbar@bracu.ac.bd</t>
  </si>
  <si>
    <t>Redowanul Akbar</t>
  </si>
  <si>
    <t>4J56</t>
  </si>
  <si>
    <t>RFF</t>
  </si>
  <si>
    <t>rafid.ahnaf@bracu.ac.bd</t>
  </si>
  <si>
    <t>Rafid Ahnaf</t>
  </si>
  <si>
    <t>4M133</t>
  </si>
  <si>
    <t>RFR</t>
  </si>
  <si>
    <t>rifat.rahman@bracu.ac.bd</t>
  </si>
  <si>
    <t>Md. Rifat Rahman</t>
  </si>
  <si>
    <t>4N164</t>
  </si>
  <si>
    <t>RFTS</t>
  </si>
  <si>
    <t>rifa.tasfiya@bracu.ac.bd</t>
  </si>
  <si>
    <t>Rifa Tasfiya</t>
  </si>
  <si>
    <t>4K69</t>
  </si>
  <si>
    <t>RHD</t>
  </si>
  <si>
    <t>imran.zahid@bracu.ac.bd</t>
  </si>
  <si>
    <t>Imran Zahid</t>
  </si>
  <si>
    <t>4M127</t>
  </si>
  <si>
    <t>Mohammad Rakibul Hasan Mahin</t>
  </si>
  <si>
    <t>4L92</t>
  </si>
  <si>
    <t>RKBR</t>
  </si>
  <si>
    <t>rakib.kibria@bracu.ac.bd</t>
  </si>
  <si>
    <t>Rakib  Kibria</t>
  </si>
  <si>
    <t>4P175</t>
  </si>
  <si>
    <t>RKN</t>
  </si>
  <si>
    <t>raisul.kabir@bracu.ac.bd</t>
  </si>
  <si>
    <t>Raisul Kabir News</t>
  </si>
  <si>
    <t>4L94</t>
  </si>
  <si>
    <t>RRH</t>
  </si>
  <si>
    <t>rahman.rafeed@bracu.ac.bd</t>
  </si>
  <si>
    <t>Mr. Rafeed Rahman</t>
  </si>
  <si>
    <t>4J64</t>
  </si>
  <si>
    <t>RSS</t>
  </si>
  <si>
    <t>rafiad.shahir@bracu.ac.bd</t>
  </si>
  <si>
    <t>Rafiad Sadat Shahir</t>
  </si>
  <si>
    <t>4N154</t>
  </si>
  <si>
    <t>SADA</t>
  </si>
  <si>
    <t>sadif.ahmed@bracu.ac.bd</t>
  </si>
  <si>
    <t>Sadif Ahmed</t>
  </si>
  <si>
    <t>4P197</t>
  </si>
  <si>
    <t>SADF</t>
  </si>
  <si>
    <t>saadat.ahmed@bracu.ac.bd</t>
  </si>
  <si>
    <t>Saadat Rafid Ahmed</t>
  </si>
  <si>
    <t>4J51</t>
  </si>
  <si>
    <t>SBHN</t>
  </si>
  <si>
    <t>sabbir.hossain@bracu.ac.bd</t>
  </si>
  <si>
    <t>Mr. Md Sabbir Hossain</t>
  </si>
  <si>
    <t>4J54</t>
  </si>
  <si>
    <t>SDAS</t>
  </si>
  <si>
    <t>sowmitra.das@bracu.ac.bd</t>
  </si>
  <si>
    <t>Sowmitra Das</t>
  </si>
  <si>
    <t>4N142</t>
  </si>
  <si>
    <t>SDF</t>
  </si>
  <si>
    <t>sadek.ferdous@bracu.ac.bd</t>
  </si>
  <si>
    <t>Dr. Md Sadek Ferdous</t>
  </si>
  <si>
    <t>4G10</t>
  </si>
  <si>
    <t>SDL</t>
  </si>
  <si>
    <t>shadmin.sultana@bracu.ac.bd</t>
  </si>
  <si>
    <t>Shadmin Sultana</t>
  </si>
  <si>
    <t>4N157</t>
  </si>
  <si>
    <t>SDQ</t>
  </si>
  <si>
    <t>saiful.bari@bracu.ac.bd</t>
  </si>
  <si>
    <t>Mr. Md. Saiful Bari Siddiqui</t>
  </si>
  <si>
    <t>4N152</t>
  </si>
  <si>
    <t>SDS</t>
  </si>
  <si>
    <t>shadman.shahriar@bracu.ac.bd</t>
  </si>
  <si>
    <t>Mr. Shadman Shahriar</t>
  </si>
  <si>
    <t>4N143</t>
  </si>
  <si>
    <t>SDU</t>
  </si>
  <si>
    <t>shomen.kundu@bracu.ac.bd</t>
  </si>
  <si>
    <t>Shomen Kundu</t>
  </si>
  <si>
    <t>4N148</t>
  </si>
  <si>
    <t>SHAH</t>
  </si>
  <si>
    <t>asif.shahriar@bracu.ac.bd</t>
  </si>
  <si>
    <t>Asif Shahriar</t>
  </si>
  <si>
    <t>4M124</t>
  </si>
  <si>
    <t>SHBK</t>
  </si>
  <si>
    <t>sahib.kowsar@bracu.ac.bd</t>
  </si>
  <si>
    <t>Sahib Kowsar</t>
  </si>
  <si>
    <t>4L91</t>
  </si>
  <si>
    <t>SHRR</t>
  </si>
  <si>
    <t>shahriar.rahman@bracu.ac.bd</t>
  </si>
  <si>
    <t>Mr. Shahriar Rahman Rana</t>
  </si>
  <si>
    <t>4M105</t>
  </si>
  <si>
    <t>SKIB</t>
  </si>
  <si>
    <t>nazmus.sakib@bracu.ac.bd</t>
  </si>
  <si>
    <t>Nazmus Sakib Ahmed</t>
  </si>
  <si>
    <t>4P174</t>
  </si>
  <si>
    <t>SKZ</t>
  </si>
  <si>
    <t>skazi@bracu.ac.bd</t>
  </si>
  <si>
    <t>Dr. Sadia Hamid Kazi</t>
  </si>
  <si>
    <t>Associate Professor &amp; Chairperson</t>
  </si>
  <si>
    <t>4G32</t>
  </si>
  <si>
    <t>SMUR</t>
  </si>
  <si>
    <t>rahman.samiur@bracu.ac.bd</t>
  </si>
  <si>
    <t>Samiur Rahman</t>
  </si>
  <si>
    <t>4J55</t>
  </si>
  <si>
    <t>SMYA</t>
  </si>
  <si>
    <t>sumaiya@bracu.ac.bd</t>
  </si>
  <si>
    <t>Sumaiya</t>
  </si>
  <si>
    <t>4K76</t>
  </si>
  <si>
    <t>SOSB</t>
  </si>
  <si>
    <t>soumya.swagata@bracu.ac.bd</t>
  </si>
  <si>
    <t>Soumya Swagata Biswas</t>
  </si>
  <si>
    <t>4P198</t>
  </si>
  <si>
    <t>SRJ</t>
  </si>
  <si>
    <t>seraj.mehnaz@bracu.ac.bd</t>
  </si>
  <si>
    <t>Ms. Mehnaz Seraj</t>
  </si>
  <si>
    <t>SRU</t>
  </si>
  <si>
    <t>shakir.rouf@bracu.ac.bd</t>
  </si>
  <si>
    <t>Mr. Shakir Rouf</t>
  </si>
  <si>
    <t>4J53</t>
  </si>
  <si>
    <t>STNM</t>
  </si>
  <si>
    <t>sanjida.tasnim@bracu.ac.bd</t>
  </si>
  <si>
    <t>Sanjida Tasnim</t>
  </si>
  <si>
    <t>4K70</t>
  </si>
  <si>
    <t>SUE</t>
  </si>
  <si>
    <t>sukarna.sarkar@bracu.ac.bd</t>
  </si>
  <si>
    <t>Sukarna Sarker</t>
  </si>
  <si>
    <t>4K82</t>
  </si>
  <si>
    <t>SULT</t>
  </si>
  <si>
    <t>sultanul.arifin@bracu.ac.bd</t>
  </si>
  <si>
    <t>Md. Sultanul Arifin</t>
  </si>
  <si>
    <t>4M114</t>
  </si>
  <si>
    <t>SVKG</t>
  </si>
  <si>
    <t>souvik.ghosh@bracu.ac.bd</t>
  </si>
  <si>
    <t>Souvik Ghosh</t>
  </si>
  <si>
    <t>4M131</t>
  </si>
  <si>
    <t>SWG</t>
  </si>
  <si>
    <t>swattic.ghose@bracu.ac.bd</t>
  </si>
  <si>
    <t>Mr. Swattic Ghose</t>
  </si>
  <si>
    <t>4M109</t>
  </si>
  <si>
    <t>SWK</t>
  </si>
  <si>
    <t>swakkhar.shatabda@bracu.ac.bd</t>
  </si>
  <si>
    <t>Dr. Swakkhar Shatabda</t>
  </si>
  <si>
    <t>4G28</t>
  </si>
  <si>
    <t>SWV</t>
  </si>
  <si>
    <t>showvik.biswas@bracu.ac.bd</t>
  </si>
  <si>
    <t>Showvik Biswas</t>
  </si>
  <si>
    <t>4M128</t>
  </si>
  <si>
    <t>SZD</t>
  </si>
  <si>
    <t>shazid.mahbub@bracu.ac.bd</t>
  </si>
  <si>
    <t>Md. Shazid Bin Mahbub</t>
  </si>
  <si>
    <t>4J65</t>
  </si>
  <si>
    <t>SZZ</t>
  </si>
  <si>
    <t>sazzadul.islam@bracu.ac.bd</t>
  </si>
  <si>
    <t>Sazzadul Islam</t>
  </si>
  <si>
    <t>4N165</t>
  </si>
  <si>
    <t>TAP</t>
  </si>
  <si>
    <t>tasnim.ahsan@bracu.ac.bd</t>
  </si>
  <si>
    <t>Ms. Tasnim Ahsan Prome</t>
  </si>
  <si>
    <t>4K83</t>
  </si>
  <si>
    <t>TAV</t>
  </si>
  <si>
    <t>tarvir.anjum@bracu.ac.bd</t>
  </si>
  <si>
    <t>Tarvir Anjum Aditto</t>
  </si>
  <si>
    <t>4N159</t>
  </si>
  <si>
    <t>Mr. Md. Tawhid Anwar</t>
  </si>
  <si>
    <t>THL</t>
  </si>
  <si>
    <t>tahsin.alam@bracu.ac.bd</t>
  </si>
  <si>
    <t>Mohammad Tahsin Alam</t>
  </si>
  <si>
    <t>4N166</t>
  </si>
  <si>
    <t>TLQ</t>
  </si>
  <si>
    <t>taiabul.haque@bracu.ac.bd</t>
  </si>
  <si>
    <t>Dr. Taiabul Haque</t>
  </si>
  <si>
    <t>4G01</t>
  </si>
  <si>
    <t>Mr. Tamkin Mahmud Tan</t>
  </si>
  <si>
    <t>4J62</t>
  </si>
  <si>
    <t>TNF</t>
  </si>
  <si>
    <t>tanhiat.fatema@bracu.ac.bd</t>
  </si>
  <si>
    <t>Tanhiat Fatema Afnan</t>
  </si>
  <si>
    <t>4K75</t>
  </si>
  <si>
    <t>TNMF</t>
  </si>
  <si>
    <t>tasnim.ferdous@bracu.ac.bd</t>
  </si>
  <si>
    <t>Ms. Tasnim Ferdous</t>
  </si>
  <si>
    <t>4K73</t>
  </si>
  <si>
    <t>TRZ</t>
  </si>
  <si>
    <t>tanzim.reza@bracu.ac.bd</t>
  </si>
  <si>
    <t>Mr. Md. Tanzim Reza</t>
  </si>
  <si>
    <t>TSE</t>
  </si>
  <si>
    <t>tasneem.mazhar@bracu.ac.bd</t>
  </si>
  <si>
    <t>Tasneem Mazhar</t>
  </si>
  <si>
    <t>4N151</t>
  </si>
  <si>
    <t>TSM</t>
  </si>
  <si>
    <t>mirza.mugdho@bracu.ac.bd</t>
  </si>
  <si>
    <t>Mr. Mirza Md. Tanjim Shorif Mugdho</t>
  </si>
  <si>
    <t>4J66</t>
  </si>
  <si>
    <t>TVRR</t>
  </si>
  <si>
    <t>tanveer.rahman@bracu.ac.bd</t>
  </si>
  <si>
    <t>Tanveer Rahman</t>
  </si>
  <si>
    <t>4M112</t>
  </si>
  <si>
    <t>TWK</t>
  </si>
  <si>
    <t>towshik.taj@bracu.ac.bd</t>
  </si>
  <si>
    <t>Towshik Anam Taj</t>
  </si>
  <si>
    <t>4M119</t>
  </si>
  <si>
    <t>UJT</t>
  </si>
  <si>
    <t>jannat.taposhi@bracu.ac.bd</t>
  </si>
  <si>
    <t>Umme Jannat Taposhi</t>
  </si>
  <si>
    <t>4K80</t>
  </si>
  <si>
    <t>UPM</t>
  </si>
  <si>
    <t>tasnim.upoma@bracu.ac.bd</t>
  </si>
  <si>
    <t>Tasnim Sobhan Upoma</t>
  </si>
  <si>
    <t>4N141</t>
  </si>
  <si>
    <t>UTKR</t>
  </si>
  <si>
    <t>utsha.roy@bracu.ac.bd</t>
  </si>
  <si>
    <t>Utsha Kumar Roy</t>
  </si>
  <si>
    <t>4P199</t>
  </si>
  <si>
    <t>UTS</t>
  </si>
  <si>
    <t>utsab.saha@bracu.ac.bd</t>
  </si>
  <si>
    <t>Utsab Saha</t>
  </si>
  <si>
    <t>4N170</t>
  </si>
  <si>
    <t>WHMJ</t>
  </si>
  <si>
    <t>wahida.mahjabin@bracu.ac.bd</t>
  </si>
  <si>
    <t>Wahida  Mahjabin</t>
  </si>
  <si>
    <t>4P179</t>
  </si>
  <si>
    <t>Yasmin Nadia</t>
  </si>
  <si>
    <t>4L89</t>
  </si>
  <si>
    <t>ZAZ</t>
  </si>
  <si>
    <t>ihzaz.sadik@bracu.ac.bd</t>
  </si>
  <si>
    <t>Ihzaz Abrar Sadik</t>
  </si>
  <si>
    <t>4N160</t>
  </si>
  <si>
    <t>ZHS</t>
  </si>
  <si>
    <t>shoumo.hasan@bracu.ac.bd</t>
  </si>
  <si>
    <t>Mr. Syed Zamil Hasan Shoumo</t>
  </si>
  <si>
    <t>4J68</t>
  </si>
  <si>
    <t>ZLNM</t>
  </si>
  <si>
    <t>zulkar.naim@bracu.ac.bd</t>
  </si>
  <si>
    <t>Md. Zulkar Naim</t>
  </si>
  <si>
    <t>4M111</t>
  </si>
  <si>
    <t>ZMD</t>
  </si>
  <si>
    <t>zaber.mohammad@bracu.ac.bd</t>
  </si>
  <si>
    <t>Mr. Zaber Mohammad</t>
  </si>
  <si>
    <t>4J61</t>
  </si>
  <si>
    <t>ZYH</t>
  </si>
  <si>
    <t>zayed.humayun@bracu.ac.bd</t>
  </si>
  <si>
    <t>Zayed Humayun</t>
  </si>
  <si>
    <t>4N156</t>
  </si>
  <si>
    <t>AAF</t>
  </si>
  <si>
    <t>ext.anika.afrin@bracu.ac.bd</t>
  </si>
  <si>
    <t>Anika Afrin</t>
  </si>
  <si>
    <t>C. Lecturer</t>
  </si>
  <si>
    <t>Contractual</t>
  </si>
  <si>
    <t>4P</t>
  </si>
  <si>
    <t>ADD</t>
  </si>
  <si>
    <t>ext.ayesha.siddika@bracu.ac.bd</t>
  </si>
  <si>
    <t>Ayesha Siddika</t>
  </si>
  <si>
    <t>ADR</t>
  </si>
  <si>
    <t>abdur.rahman@bracu.ac.bd</t>
  </si>
  <si>
    <t>Mr. Md. Abdur Rahman</t>
  </si>
  <si>
    <t>C. Senior Lecturer</t>
  </si>
  <si>
    <t>AHA</t>
  </si>
  <si>
    <t>ext.abid.ashik@bracu.ac.bd</t>
  </si>
  <si>
    <t>Abid Hossain Ashik</t>
  </si>
  <si>
    <t>AHC</t>
  </si>
  <si>
    <t>ext.asif.hasan@bracu.ac.bd</t>
  </si>
  <si>
    <t>Asif Hasan Chowdhury</t>
  </si>
  <si>
    <t>AJK</t>
  </si>
  <si>
    <t>ext.akib.jawad@bracu.ac.bd</t>
  </si>
  <si>
    <t>Ahmed Akib Jawad Karim</t>
  </si>
  <si>
    <t>AKDB</t>
  </si>
  <si>
    <t>ext.angkon.deb@bracu.ac.bd</t>
  </si>
  <si>
    <t>Angkon Deb</t>
  </si>
  <si>
    <t>AKHD</t>
  </si>
  <si>
    <t>ext.abdullah@bracu.ac.bd</t>
  </si>
  <si>
    <t>Abdullah Khondoker</t>
  </si>
  <si>
    <t>ALSM</t>
  </si>
  <si>
    <t>ext.aliva.sadnim@bracu.ac.bd</t>
  </si>
  <si>
    <t>Aliva Sadnim Mahmud</t>
  </si>
  <si>
    <t>ANNH</t>
  </si>
  <si>
    <t>ext.aunon.halder@bracu.ac.bd</t>
  </si>
  <si>
    <t>Aunon Halder</t>
  </si>
  <si>
    <t>ANT</t>
  </si>
  <si>
    <t>ext.anika.tasnim@bracu.ac.bd</t>
  </si>
  <si>
    <t>Anika Tasnim</t>
  </si>
  <si>
    <t>Md. Anonto Shuvo</t>
  </si>
  <si>
    <t>Abu Obaida Hasme</t>
  </si>
  <si>
    <t>AQJ</t>
  </si>
  <si>
    <t>ext.ashiqur.jubaier@bracu.ac.bd</t>
  </si>
  <si>
    <t>Ashiqur Jubaier</t>
  </si>
  <si>
    <t>ARA</t>
  </si>
  <si>
    <t>ext.rahman.ashikur@bracu.ac.bd</t>
  </si>
  <si>
    <t>Md Ashikur Rahman Any</t>
  </si>
  <si>
    <t>AROY</t>
  </si>
  <si>
    <t>ext.atonu.roy@bracu.ac.bd</t>
  </si>
  <si>
    <t>Atonu Roy Chowdhury</t>
  </si>
  <si>
    <t>ARPD</t>
  </si>
  <si>
    <t>ext.arpa.roy@bracu.ac.bd</t>
  </si>
  <si>
    <t>Arpa Roy Dastider</t>
  </si>
  <si>
    <t>ASMN</t>
  </si>
  <si>
    <t>ext.nasim.khan@bracu.ac.bd</t>
  </si>
  <si>
    <t>A S M Nasim Khan</t>
  </si>
  <si>
    <t>AWK</t>
  </si>
  <si>
    <t>ext.azwad.wakil@bracu.ac.bd</t>
  </si>
  <si>
    <t>Mirza Azwad Wakil</t>
  </si>
  <si>
    <t>CABS</t>
  </si>
  <si>
    <t>ext.aabrar.islam@bracu.ac.bd</t>
  </si>
  <si>
    <t>Aabrar Islam</t>
  </si>
  <si>
    <t>ANIKA ISLAM</t>
  </si>
  <si>
    <t>CAPN</t>
  </si>
  <si>
    <t>ext.argha.angon@bracu.ac.bd</t>
  </si>
  <si>
    <t>Argha Protim Angon</t>
  </si>
  <si>
    <t>CAYR</t>
  </si>
  <si>
    <t>ext.ayon.roy@bracu.ac.bd</t>
  </si>
  <si>
    <t>Ayon Roy</t>
  </si>
  <si>
    <t>CESF</t>
  </si>
  <si>
    <t>ext.eshat.fareeha@bracu.ac.bd</t>
  </si>
  <si>
    <t>Eshat Fareeha</t>
  </si>
  <si>
    <t>CKMH</t>
  </si>
  <si>
    <t>ext.ahanaf.hannan@bracu.ac.bd</t>
  </si>
  <si>
    <t>Khondokar Mohammad Ahanaf Hannan</t>
  </si>
  <si>
    <t>CMHH</t>
  </si>
  <si>
    <t>ext.maheer.helal@bracu.ac.bd</t>
  </si>
  <si>
    <t>Maheer Helal</t>
  </si>
  <si>
    <t>CMHQ</t>
  </si>
  <si>
    <t>ext.moinul.haque@bracu.ac.bd</t>
  </si>
  <si>
    <t>Moinul Haque</t>
  </si>
  <si>
    <t>Nafis Chowdhury</t>
  </si>
  <si>
    <t>CNZR</t>
  </si>
  <si>
    <t>ext.nusrat.raya@bracu.ac.bd</t>
  </si>
  <si>
    <t>Nusrat Zaman Raya</t>
  </si>
  <si>
    <t>CPTH</t>
  </si>
  <si>
    <t>ext.purba.hassan@bracu.ac.bd</t>
  </si>
  <si>
    <t>Purba Tahia Hassan</t>
  </si>
  <si>
    <t>CQAE</t>
  </si>
  <si>
    <t>ext.qurratul.elma@bracu.ac.bd</t>
  </si>
  <si>
    <t>Qurratul Ayen Elma</t>
  </si>
  <si>
    <t>Ruhan Habib</t>
  </si>
  <si>
    <t>CSAB</t>
  </si>
  <si>
    <t>ext.shreya.banik@bracu.ac.bd</t>
  </si>
  <si>
    <t>Shreya Adrita Banik</t>
  </si>
  <si>
    <t>Sadman Sakib Alif</t>
  </si>
  <si>
    <t>CSSN</t>
  </si>
  <si>
    <t>ext.shamsur.aziz@bracu.ac.bd</t>
  </si>
  <si>
    <t>Md Shamsur Shafi Nur E Aziz</t>
  </si>
  <si>
    <t>CSYR</t>
  </si>
  <si>
    <t>ext.sayeedur.rahman@bracu.ac.bd</t>
  </si>
  <si>
    <t>Sayeedur Rahman</t>
  </si>
  <si>
    <t>DPRN</t>
  </si>
  <si>
    <t>ext.dipika.rani@bracu.ac.bd</t>
  </si>
  <si>
    <t>Dipika Rani Nath</t>
  </si>
  <si>
    <t>FDM</t>
  </si>
  <si>
    <t>ext.fardin.rahman@bracu.ac.bd</t>
  </si>
  <si>
    <t>Md Fardin Rahman Ami</t>
  </si>
  <si>
    <t>FDZ</t>
  </si>
  <si>
    <t>ext.fardin.zaman@bracu.ac.bd</t>
  </si>
  <si>
    <t>Fardin Zaman</t>
  </si>
  <si>
    <t>FMK</t>
  </si>
  <si>
    <t>ext.md.saif.mokarrom@bracu.ac.bd</t>
  </si>
  <si>
    <t>Md. Saif Mokarrom</t>
  </si>
  <si>
    <t>Hamim Ibne Nasim</t>
  </si>
  <si>
    <t>IRZ</t>
  </si>
  <si>
    <t>ext.irtiza.hossain@bracu.ac.bd</t>
  </si>
  <si>
    <t>Md. Irtiza Hossain</t>
  </si>
  <si>
    <t>KBS</t>
  </si>
  <si>
    <t>ext.kefaya.shahnoor@bracu.ac.bd</t>
  </si>
  <si>
    <t>Kefaya Benta Shahnoor</t>
  </si>
  <si>
    <t>LMI</t>
  </si>
  <si>
    <t>lamiah.israt@bracu.ac.bd</t>
  </si>
  <si>
    <t>Lamiah Israt</t>
  </si>
  <si>
    <t>MAF</t>
  </si>
  <si>
    <t>ext.md.asif@bracu.ac.bd</t>
  </si>
  <si>
    <t>MD ASIF</t>
  </si>
  <si>
    <t>MCW</t>
  </si>
  <si>
    <t>ext.mahjabin@bracu.ac.bd</t>
  </si>
  <si>
    <t>Mahjabin Chowdhury</t>
  </si>
  <si>
    <t>MHM</t>
  </si>
  <si>
    <t>ext.maharin.mosfakin@bracu.ac.bd</t>
  </si>
  <si>
    <t>Maharin Mosfakin</t>
  </si>
  <si>
    <t>MHY</t>
  </si>
  <si>
    <t>ext.abu.musa@bracu.ac.bd</t>
  </si>
  <si>
    <t>Abu Musa Al Ashary</t>
  </si>
  <si>
    <t>MLH</t>
  </si>
  <si>
    <t>ext.monirul.haque@bracu.ac.bd</t>
  </si>
  <si>
    <t>Monirul Haque</t>
  </si>
  <si>
    <t>MTOT</t>
  </si>
  <si>
    <t>ext.toky.tazwar@bracu.ac.bd</t>
  </si>
  <si>
    <t>Md Toky Tazwar</t>
  </si>
  <si>
    <t>MZFZ</t>
  </si>
  <si>
    <t>ext.mehnaz.fazal@bracu.ac.bd</t>
  </si>
  <si>
    <t>Mehnaz Ara Fazal</t>
  </si>
  <si>
    <t>MZW</t>
  </si>
  <si>
    <t>ext.maazin.munawar@bracu.ac.bd</t>
  </si>
  <si>
    <t>Maazin Munawar</t>
  </si>
  <si>
    <t>NFS</t>
  </si>
  <si>
    <t>ext.nafis.faisal@bracu.ac.bd</t>
  </si>
  <si>
    <t>Nafis Faisal</t>
  </si>
  <si>
    <t>NMP</t>
  </si>
  <si>
    <t>ext.namira.pranty@bracu.ac.bd</t>
  </si>
  <si>
    <t>Namira Mustafiz Pranty</t>
  </si>
  <si>
    <t>NQM</t>
  </si>
  <si>
    <t>ext.nafiz.ishtiaque@bracu.ac.bd</t>
  </si>
  <si>
    <t>Md Nafiz Ishtiaque Mahee</t>
  </si>
  <si>
    <t>NTN</t>
  </si>
  <si>
    <t>ext.naima.tahsin@bracu.ac.bd</t>
  </si>
  <si>
    <t>Naima Tahsin Nodi</t>
  </si>
  <si>
    <t>NUR</t>
  </si>
  <si>
    <t>ext.nur.shaon@bracu.ac.bd</t>
  </si>
  <si>
    <t>Nur Mohammad Shaon</t>
  </si>
  <si>
    <t>NWT</t>
  </si>
  <si>
    <t>ext.nowshin.tabassum@bracu.ac.bd</t>
  </si>
  <si>
    <t>Nowshin Tabassum</t>
  </si>
  <si>
    <t>PRC</t>
  </si>
  <si>
    <t>ext.pratick.roy@bracu.ac.bd</t>
  </si>
  <si>
    <t>Pratick Roy Chowdhuruy</t>
  </si>
  <si>
    <t>RAO</t>
  </si>
  <si>
    <t>ext.mohammed.radoan@bracu.ac.bd</t>
  </si>
  <si>
    <t>Mohammed Radoan</t>
  </si>
  <si>
    <t>RDS</t>
  </si>
  <si>
    <t>ext.rantu.das@bracu.ac.bd</t>
  </si>
  <si>
    <t>Rantu Das</t>
  </si>
  <si>
    <t>RFQ</t>
  </si>
  <si>
    <t>ext.rafatul.haq@bracu.ac.bd</t>
  </si>
  <si>
    <t>Md. Rafatul Haq</t>
  </si>
  <si>
    <t>RZR</t>
  </si>
  <si>
    <t>ext.riazul.islam@bracu.ac.bd</t>
  </si>
  <si>
    <t>Riazul Islam Rifat</t>
  </si>
  <si>
    <t>SEF</t>
  </si>
  <si>
    <t>ext.sheikh.ahmed@bracu.ac.bd</t>
  </si>
  <si>
    <t>Sheikh Iftekhar Ahmed</t>
  </si>
  <si>
    <t>SHBZ</t>
  </si>
  <si>
    <t>ext.shams.bayzid@bracu.ac.bd</t>
  </si>
  <si>
    <t>Dr. Md Shamsuzzoha Bayzid</t>
  </si>
  <si>
    <t>C. Professor</t>
  </si>
  <si>
    <t>4G15</t>
  </si>
  <si>
    <t>SHJR</t>
  </si>
  <si>
    <t>ext.shourov.joarder@bracu.ac.bd</t>
  </si>
  <si>
    <t>Shourov Joarder</t>
  </si>
  <si>
    <t>SJM</t>
  </si>
  <si>
    <t>ext.sajid.mahir@bracu.ac.bd</t>
  </si>
  <si>
    <t>Sajid Imam Mahir</t>
  </si>
  <si>
    <t>SLAR</t>
  </si>
  <si>
    <t>ext.sadiul.rafi@bracu.ac.bd</t>
  </si>
  <si>
    <t>Sadiul Arefin Rafi</t>
  </si>
  <si>
    <t>SMDS</t>
  </si>
  <si>
    <t>ext.soumitra.das@bracu.ac.bd</t>
  </si>
  <si>
    <t>Soumitra Das</t>
  </si>
  <si>
    <t>SMKD</t>
  </si>
  <si>
    <t>ext.samiul.kadir@bracu.ac.bd</t>
  </si>
  <si>
    <t>Sheikh Samiul Kadir</t>
  </si>
  <si>
    <t>THR</t>
  </si>
  <si>
    <t>ext.tahsin.ramisha@bracu.ac.bd</t>
  </si>
  <si>
    <t>Tahsin Tanim Ramisha</t>
  </si>
  <si>
    <t>TRZA</t>
  </si>
  <si>
    <t>ext.tanjim.reza@bracu.ac.bd</t>
  </si>
  <si>
    <t>Tanjim Reza</t>
  </si>
  <si>
    <t>WBH</t>
  </si>
  <si>
    <t>ext.waleed.bin@bracu.ac.bd</t>
  </si>
  <si>
    <t>Waleed Bin Habib Khan</t>
  </si>
  <si>
    <t>WLV</t>
  </si>
  <si>
    <t>ext.waseq.alvi@bracu.ac.bd</t>
  </si>
  <si>
    <t>Md.Waseq Alauddin Alvi</t>
  </si>
  <si>
    <t>ZBH</t>
  </si>
  <si>
    <t>ext.zayed.zahir@bracu.ac.bd</t>
  </si>
  <si>
    <t>Md. Zayed Bin Zahir Arju</t>
  </si>
  <si>
    <t>ZIZE</t>
  </si>
  <si>
    <t>ext.zahin.ikbal@bracu.ac.bd</t>
  </si>
  <si>
    <t>Zahin Iqbal Zeal</t>
  </si>
  <si>
    <t>Tuesday</t>
  </si>
  <si>
    <t>Wednesday</t>
  </si>
  <si>
    <t>Mr. Avinandan Banerjee
Afroza Akhter
Mr. Md. Tawhid Anwar
Mr. Ahmed Mahir Ruhan
Abu Obaida Hasme
Mr. Abdullah Al Nakib
Mr. Md. Tawhid Anwar
Mohammad Rakibul Hasan Mahin
Mr. Md. Fakhruddin Gazzali
Mr. Md. Abu Ibrahim
Ateya Ahmed Subarna
Abu Obaida Hasme
Mr. Prantik Paul
Atanu Roy
Ms. Khondoker Nazia Iqbal
Mr. Abdullah Al Nakib
Mr. Tamkin Mahmud Tan
Mr. Ahmed Mahir Ruhan
Yasmin Nadia
Sheikh Samiul Kadir
Ateya Ahmed Subarna
Quazi Ashikur Rahman
Farden Ehsan Khan
Mr. Rubayat Ahmed Khan
Md. Anonto Shuvo
MD ASIF
Maazin Munawar
Mashiyat Mahjabin Prapty
Mr. Tamkin Mahmud Tan
Mr. Md. Sabbir Ahmed
Mr. Prantik Paul
Mehedi Hasan Emo
Quazi Ashikur Rahman
Mehedi Hasan Emo
Shihab Muhtasim
Md. Imtiaj Hossain
Ateya Ahmed Subarna
Nusrat Zaman Raya
Nusrat Zaman Raya
Mr. Rubayat Ahmed Khan
Mr. Avinandan Banerjee
Shihab Muhtasim
Anika Tasnim
Atanu Roy
Mohammad Rakibul Hasan Mahin
Ahmed Mayeesha Reza Agomoni
Shihab Muhtasim
Marshia Nujhat
Mr. Ahmed Mahir Ruhan
Ahmed Mayeesha Reza Agomoni</t>
  </si>
  <si>
    <t>avinandan@bracu.ac.bd,
afroza.akther@bracu.ac.bd,
tawhid.anwar@bracu.ac.bd,
ahmed.ruhan@bracu.ac.bd,
ext.abu.hasme@bracu.ac.bd,
abdullah.alnakib@bracu.ac.bd,
tawhid.anwar@bracu.ac.bd,
mohammad.rakibul@bracu.ac.bd,
fakhruddin.gazzali@bracu.ac.bd,
abu.ibrahim@bracu.ac.bd,
ateya.ahmed@bracu.ac.bd,
ext.abu.hasme@bracu.ac.bd,
prantik.paul@bracu.ac.bd,
ext.atanu.roy@bracu.ac.bd,
nazia.iqbal@bracu.ac.bd,
abdullah.alnakib@bracu.ac.bd,
tamkin.mahmud@bracu.ac.bd,
ahmed.ruhan@bracu.ac.bd,
ext.yasmin.nadia@bracu.ac.bd,
ext.samiul.kadir@bracu.ac.bd,
ateya.ahmed@bracu.ac.bd,
quazi.ashikur@bracu.ac.bd,
farden.khan@bracu.ac.bd,
rubayat.ahmed@bracu.ac.bd,
ext.anonto.shuvo@bracu.ac.bd,
ext.md.asif@bracu.ac.bd,
ext.maazin.munawar@bracu.ac.bd,
ext.mashiyat.prapty@bracu.ac.bd,
tamkin.mahmud@bracu.ac.bd,
sabbir.ahmed@bracu.ac.bd,
prantik.paul@bracu.ac.bd,
mehedi.emo@bracu.ac.bd,
quazi.ashikur@bracu.ac.bd,
mehedi.emo@bracu.ac.bd,
shihabmuhtasim.cs@gmail.com,
ext.imtiaj.hossain@bracu.ac.bd,
ateya.ahmed@bracu.ac.bd,
nusratzamanraya@gmail.com,
nusratzamanraya@gmail.com,
rubayat.ahmed@bracu.ac.bd,
avinandan@bracu.ac.bd,
shihabmuhtasim.cs@gmail.com,
ext.anika.tasnim@bracu.ac.bd,
ext.atanu.roy@bracu.ac.bd,
mohammad.rakibul@bracu.ac.bd,
ext.ahmed.mayeesha@bracu.ac.bd,
shihabmuhtasim.cs@gmail.com,
marshia.nujhat@bracu.ac.bd,
ahmed.ruhan@bracu.ac.bd,
ext.ahmed.mayeesha@bracu.ac.bd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</si>
</sst>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8">
    <font>
      <sz val="10.0"/>
      <color rgb="FF000000"/>
      <name val="Arial"/>
      <scheme val="minor"/>
    </font>
    <font>
      <b/>
      <sz val="14.0"/>
      <color theme="1"/>
      <name val="Arial"/>
    </font>
    <font>
      <sz val="14.0"/>
      <color theme="1"/>
      <name val="Arial"/>
    </font>
    <font>
      <sz val="13.0"/>
      <color theme="1"/>
      <name val="Arial"/>
    </font>
    <font>
      <u/>
      <sz val="13.0"/>
      <color rgb="FF0000FF"/>
      <name val="Arial"/>
    </font>
    <font>
      <color theme="1"/>
      <name val="Arial"/>
      <scheme val="minor"/>
    </font>
    <font/>
    <font>
      <color theme="1"/>
      <name val="Arial"/>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0"/>
    </xf>
    <xf borderId="0" fillId="3" fontId="2" numFmtId="0" xfId="0" applyAlignment="1" applyFill="1" applyFont="1">
      <alignment horizontal="center" readingOrder="0" vertical="center"/>
    </xf>
    <xf borderId="1" fillId="3" fontId="3" numFmtId="0" xfId="0" applyAlignment="1" applyBorder="1" applyFont="1">
      <alignment horizontal="center" readingOrder="0" vertical="center"/>
    </xf>
    <xf borderId="1" fillId="3" fontId="3" numFmtId="164" xfId="0" applyAlignment="1" applyBorder="1" applyFont="1" applyNumberFormat="1">
      <alignment horizontal="center" readingOrder="0" vertical="center"/>
    </xf>
    <xf borderId="1" fillId="3" fontId="3" numFmtId="0" xfId="0" applyAlignment="1" applyBorder="1" applyFont="1">
      <alignment horizontal="center" readingOrder="0" shrinkToFit="0" vertical="center" wrapText="1"/>
    </xf>
    <xf borderId="2" fillId="3" fontId="4"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0"/>
    </xf>
    <xf borderId="1" fillId="3" fontId="3" numFmtId="0" xfId="0" applyAlignment="1" applyBorder="1" applyFont="1">
      <alignment horizontal="center" shrinkToFit="0" vertical="center" wrapText="1"/>
    </xf>
    <xf borderId="0" fillId="0" fontId="5" numFmtId="0" xfId="0" applyFont="1"/>
    <xf borderId="0" fillId="4" fontId="2" numFmtId="0" xfId="0" applyAlignment="1" applyFill="1" applyFont="1">
      <alignment horizontal="center" readingOrder="0" vertical="center"/>
    </xf>
    <xf borderId="1" fillId="4" fontId="3" numFmtId="0" xfId="0" applyAlignment="1" applyBorder="1" applyFont="1">
      <alignment horizontal="center" readingOrder="0" vertical="center"/>
    </xf>
    <xf borderId="1" fillId="4" fontId="3" numFmtId="164" xfId="0" applyAlignment="1" applyBorder="1" applyFont="1" applyNumberFormat="1">
      <alignment horizontal="center" readingOrder="0" vertical="center"/>
    </xf>
    <xf borderId="1" fillId="4" fontId="3" numFmtId="0" xfId="0" applyAlignment="1" applyBorder="1" applyFont="1">
      <alignment horizontal="center" readingOrder="0" shrinkToFit="0" vertical="center" wrapText="1"/>
    </xf>
    <xf borderId="3" fillId="4" fontId="6" numFmtId="0" xfId="0" applyBorder="1" applyFont="1"/>
    <xf borderId="1" fillId="4" fontId="3" numFmtId="0" xfId="0" applyAlignment="1" applyBorder="1" applyFont="1">
      <alignment horizontal="center" shrinkToFit="0" vertical="center" wrapText="0"/>
    </xf>
    <xf borderId="1" fillId="4" fontId="3" numFmtId="0" xfId="0" applyAlignment="1" applyBorder="1" applyFont="1">
      <alignment horizontal="center" shrinkToFit="0" vertical="center" wrapText="1"/>
    </xf>
    <xf borderId="3" fillId="3" fontId="6" numFmtId="0" xfId="0" applyBorder="1" applyFont="1"/>
    <xf borderId="4" fillId="4" fontId="6" numFmtId="0" xfId="0" applyBorder="1" applyFont="1"/>
    <xf borderId="0" fillId="0" fontId="7" numFmtId="0" xfId="0" applyAlignment="1" applyFont="1">
      <alignment vertical="bottom"/>
    </xf>
    <xf borderId="0" fillId="0" fontId="5" numFmtId="0" xfId="0" applyAlignment="1" applyFont="1">
      <alignment readingOrder="0"/>
    </xf>
    <xf borderId="0" fillId="0" fontId="7" numFmtId="164" xfId="0" applyAlignment="1" applyFont="1" applyNumberFormat="1">
      <alignment horizontal="right" vertical="bottom"/>
    </xf>
    <xf borderId="0" fillId="0" fontId="7" numFmtId="164" xfId="0" applyAlignment="1" applyFont="1" applyNumberFormat="1">
      <alignment vertical="bottom"/>
    </xf>
    <xf borderId="0" fillId="0" fontId="5" numFmtId="164" xfId="0" applyAlignment="1" applyFont="1" applyNumberFormat="1">
      <alignment readingOrder="0"/>
    </xf>
    <xf borderId="0" fillId="0" fontId="5" numFmtId="0" xfId="0" applyAlignment="1" applyFont="1">
      <alignment horizontal="center" readingOrder="0"/>
    </xf>
    <xf borderId="0" fillId="0" fontId="5" numFmtId="0" xfId="0" applyFont="1"/>
    <xf borderId="0" fillId="0" fontId="5" numFmtId="16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in.slack.com/t/cse111spring2026/signup" TargetMode="External"/><Relationship Id="rId2" Type="http://schemas.openxmlformats.org/officeDocument/2006/relationships/hyperlink" Target="https://bux-home.bracu.ac.bd/courses/course-v1:buX+CSE111+2026_Spring/abou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6.5"/>
    <col customWidth="1" min="2" max="2" width="10.5"/>
    <col customWidth="1" hidden="1" min="3" max="3" width="16.38"/>
    <col customWidth="1" min="4" max="4" width="16.38"/>
    <col customWidth="1" min="5" max="5" width="13.75"/>
    <col customWidth="1" min="6" max="6" width="11.75"/>
    <col customWidth="1" min="8" max="8" width="27.38"/>
    <col hidden="1" min="9" max="10" width="12.63"/>
    <col customWidth="1" min="11" max="11" width="40.75"/>
    <col customWidth="1" min="12" max="12" width="40.38"/>
    <col hidden="1" min="14" max="14" width="12.63"/>
  </cols>
  <sheetData>
    <row r="1">
      <c r="A1" s="1"/>
      <c r="B1" s="2" t="s">
        <v>0</v>
      </c>
      <c r="C1" s="2"/>
      <c r="D1" s="2" t="s">
        <v>1</v>
      </c>
      <c r="E1" s="2" t="s">
        <v>2</v>
      </c>
      <c r="F1" s="2" t="s">
        <v>3</v>
      </c>
      <c r="G1" s="3" t="s">
        <v>4</v>
      </c>
      <c r="H1" s="4" t="s">
        <v>5</v>
      </c>
      <c r="I1" s="5" t="s">
        <v>6</v>
      </c>
      <c r="J1" s="5" t="s">
        <v>7</v>
      </c>
      <c r="K1" s="3" t="s">
        <v>8</v>
      </c>
      <c r="L1" s="3" t="s">
        <v>9</v>
      </c>
    </row>
    <row r="2">
      <c r="A2" s="6" t="s">
        <v>10</v>
      </c>
      <c r="B2" s="7" t="str">
        <f t="shared" ref="B2:B17" si="1">RIGHT(A2, LEN(A2) - FIND("-", A2))</f>
        <v>01</v>
      </c>
      <c r="C2" s="7" t="s">
        <v>11</v>
      </c>
      <c r="D2" s="7" t="s">
        <v>12</v>
      </c>
      <c r="E2" s="7" t="s">
        <v>13</v>
      </c>
      <c r="F2" s="8">
        <v>0.4583333333333333</v>
      </c>
      <c r="G2" s="9" t="s">
        <v>14</v>
      </c>
      <c r="H2" s="10" t="s">
        <v>15</v>
      </c>
      <c r="I2" s="11" t="str">
        <f t="shared" ref="I2:I17" si="2">LEFT(D2, FIND(",", D2) - 1)</f>
        <v>AIB</v>
      </c>
      <c r="J2" s="11" t="str">
        <f t="shared" ref="J2:J17" si="3">RIGHT(D2, LEN(D2) - FIND(",", D2))</f>
        <v>ATY</v>
      </c>
      <c r="K2" s="12" t="str">
        <f t="array" ref="K2">XLOOKUP(I2, Faculty_Info!$A$1:$A$270, Faculty_Info!$B$1:$B$270)</f>
        <v>abu.ibrahim@bracu.ac.bd</v>
      </c>
      <c r="L2" s="12" t="str">
        <f t="array" ref="L2">XLOOKUP(J2, Faculty_Info!$A$1:$A$270, Faculty_Info!$B$1:$B$270)</f>
        <v>ateya.ahmed@bracu.ac.bd</v>
      </c>
      <c r="N2" s="13" t="str">
        <f t="array" ref="N2:N8">SORT(UNIQUE(G2:G17))</f>
        <v>09B-08L</v>
      </c>
    </row>
    <row r="3">
      <c r="A3" s="14" t="s">
        <v>16</v>
      </c>
      <c r="B3" s="15" t="str">
        <f t="shared" si="1"/>
        <v>02</v>
      </c>
      <c r="C3" s="15" t="s">
        <v>17</v>
      </c>
      <c r="D3" s="15" t="s">
        <v>18</v>
      </c>
      <c r="E3" s="15" t="s">
        <v>19</v>
      </c>
      <c r="F3" s="16">
        <v>0.5833333333333334</v>
      </c>
      <c r="G3" s="17" t="s">
        <v>20</v>
      </c>
      <c r="H3" s="18"/>
      <c r="I3" s="19" t="str">
        <f t="shared" si="2"/>
        <v>TAW</v>
      </c>
      <c r="J3" s="19" t="str">
        <f t="shared" si="3"/>
        <v>AOH</v>
      </c>
      <c r="K3" s="20" t="str">
        <f t="array" ref="K3">XLOOKUP(I3, Faculty_Info!$A$1:$A$270, Faculty_Info!$B$1:$B$270)</f>
        <v>tawhid.anwar@bracu.ac.bd</v>
      </c>
      <c r="L3" s="20" t="str">
        <f t="array" ref="L3">XLOOKUP(J3, Faculty_Info!$A$1:$A$270, Faculty_Info!$B$1:$B$270)</f>
        <v>ext.abu.hasme@bracu.ac.bd</v>
      </c>
      <c r="N3" s="13" t="s">
        <v>21</v>
      </c>
    </row>
    <row r="4">
      <c r="A4" s="6" t="s">
        <v>22</v>
      </c>
      <c r="B4" s="7" t="str">
        <f t="shared" si="1"/>
        <v>03</v>
      </c>
      <c r="C4" s="7" t="s">
        <v>17</v>
      </c>
      <c r="D4" s="7" t="s">
        <v>23</v>
      </c>
      <c r="E4" s="7" t="s">
        <v>19</v>
      </c>
      <c r="F4" s="8">
        <v>0.5833333333333334</v>
      </c>
      <c r="G4" s="9" t="s">
        <v>24</v>
      </c>
      <c r="H4" s="21"/>
      <c r="I4" s="11" t="str">
        <f t="shared" si="2"/>
        <v>CAKM</v>
      </c>
      <c r="J4" s="11" t="str">
        <f t="shared" si="3"/>
        <v>HBN</v>
      </c>
      <c r="K4" s="12" t="str">
        <f t="array" ref="K4">XLOOKUP(I4, Faculty_Info!$A$1:$A$270, Faculty_Info!$B$1:$B$270)</f>
        <v>ext.anika.islam@bracu.ac.bd</v>
      </c>
      <c r="L4" s="12" t="str">
        <f t="array" ref="L4">XLOOKUP(J4, Faculty_Info!$A$1:$A$270, Faculty_Info!$B$1:$B$270)</f>
        <v>ext.hamim.nasim@bracu.ac.bd</v>
      </c>
      <c r="N4" s="13" t="s">
        <v>25</v>
      </c>
    </row>
    <row r="5">
      <c r="A5" s="14" t="s">
        <v>26</v>
      </c>
      <c r="B5" s="15" t="str">
        <f t="shared" si="1"/>
        <v>04</v>
      </c>
      <c r="C5" s="15" t="s">
        <v>17</v>
      </c>
      <c r="D5" s="15" t="s">
        <v>27</v>
      </c>
      <c r="E5" s="15" t="s">
        <v>28</v>
      </c>
      <c r="F5" s="16">
        <v>0.4583333333333333</v>
      </c>
      <c r="G5" s="17" t="s">
        <v>20</v>
      </c>
      <c r="H5" s="18"/>
      <c r="I5" s="19" t="str">
        <f t="shared" si="2"/>
        <v>TAW</v>
      </c>
      <c r="J5" s="19" t="str">
        <f t="shared" si="3"/>
        <v>RKBM</v>
      </c>
      <c r="K5" s="20" t="str">
        <f t="array" ref="K5">XLOOKUP(I5, Faculty_Info!$A$1:$A$270, Faculty_Info!$B$1:$B$270)</f>
        <v>tawhid.anwar@bracu.ac.bd</v>
      </c>
      <c r="L5" s="20" t="str">
        <f t="array" ref="L5">XLOOKUP(J5, Faculty_Info!$A$1:$A$270, Faculty_Info!$B$1:$B$270)</f>
        <v>mohammad.rakibul@bracu.ac.bd</v>
      </c>
      <c r="N5" s="13" t="s">
        <v>29</v>
      </c>
    </row>
    <row r="6">
      <c r="A6" s="6" t="s">
        <v>30</v>
      </c>
      <c r="B6" s="7" t="str">
        <f t="shared" si="1"/>
        <v>05</v>
      </c>
      <c r="C6" s="7" t="s">
        <v>31</v>
      </c>
      <c r="D6" s="7" t="s">
        <v>32</v>
      </c>
      <c r="E6" s="7" t="s">
        <v>13</v>
      </c>
      <c r="F6" s="8">
        <v>0.3333333333333333</v>
      </c>
      <c r="G6" s="9" t="s">
        <v>21</v>
      </c>
      <c r="H6" s="21"/>
      <c r="I6" s="11" t="str">
        <f t="shared" si="2"/>
        <v>HBN</v>
      </c>
      <c r="J6" s="11" t="str">
        <f t="shared" si="3"/>
        <v>AOH</v>
      </c>
      <c r="K6" s="12" t="s">
        <v>33</v>
      </c>
      <c r="L6" s="12" t="str">
        <f t="array" ref="L6">XLOOKUP(J6, Faculty_Info!$A$1:$A$270, Faculty_Info!$B$1:$B$270)</f>
        <v>ext.abu.hasme@bracu.ac.bd</v>
      </c>
      <c r="N6" s="13" t="s">
        <v>34</v>
      </c>
    </row>
    <row r="7">
      <c r="A7" s="14" t="s">
        <v>35</v>
      </c>
      <c r="B7" s="15" t="str">
        <f t="shared" si="1"/>
        <v>06</v>
      </c>
      <c r="C7" s="15" t="s">
        <v>31</v>
      </c>
      <c r="D7" s="15" t="s">
        <v>36</v>
      </c>
      <c r="E7" s="15" t="s">
        <v>13</v>
      </c>
      <c r="F7" s="16">
        <v>0.4583333333333333</v>
      </c>
      <c r="G7" s="17" t="s">
        <v>21</v>
      </c>
      <c r="H7" s="18"/>
      <c r="I7" s="19" t="str">
        <f t="shared" si="2"/>
        <v>FGZ</v>
      </c>
      <c r="J7" s="19" t="str">
        <f t="shared" si="3"/>
        <v>AVB</v>
      </c>
      <c r="K7" s="20" t="str">
        <f t="array" ref="K7">XLOOKUP(I7, Faculty_Info!$A$1:$A$270, Faculty_Info!$B$1:$B$270)</f>
        <v>fakhruddin.gazzali@bracu.ac.bd</v>
      </c>
      <c r="L7" s="20" t="str">
        <f t="array" ref="L7">XLOOKUP(J7, Faculty_Info!$A$1:$A$270, Faculty_Info!$B$1:$B$270)</f>
        <v>avinandan@bracu.ac.bd</v>
      </c>
      <c r="N7" s="13" t="s">
        <v>24</v>
      </c>
    </row>
    <row r="8">
      <c r="A8" s="6" t="s">
        <v>37</v>
      </c>
      <c r="B8" s="7" t="str">
        <f t="shared" si="1"/>
        <v>07</v>
      </c>
      <c r="C8" s="7" t="s">
        <v>38</v>
      </c>
      <c r="D8" s="7" t="s">
        <v>39</v>
      </c>
      <c r="E8" s="7" t="s">
        <v>19</v>
      </c>
      <c r="F8" s="8">
        <v>0.5833333333333334</v>
      </c>
      <c r="G8" s="9" t="s">
        <v>29</v>
      </c>
      <c r="H8" s="21"/>
      <c r="I8" s="11" t="str">
        <f t="shared" si="2"/>
        <v>AFA</v>
      </c>
      <c r="J8" s="11" t="str">
        <f t="shared" si="3"/>
        <v>CRHB</v>
      </c>
      <c r="K8" s="12" t="s">
        <v>40</v>
      </c>
      <c r="L8" s="12" t="str">
        <f t="array" ref="L8">XLOOKUP(J8, Faculty_Info!$A$1:$A$270, Faculty_Info!$B$1:$B$270)</f>
        <v>ext.ruhan.habib@bracu.ac.bd</v>
      </c>
      <c r="N8" s="13" t="s">
        <v>20</v>
      </c>
    </row>
    <row r="9">
      <c r="A9" s="14" t="s">
        <v>41</v>
      </c>
      <c r="B9" s="15" t="str">
        <f t="shared" si="1"/>
        <v>08</v>
      </c>
      <c r="C9" s="15" t="s">
        <v>42</v>
      </c>
      <c r="D9" s="15" t="s">
        <v>43</v>
      </c>
      <c r="E9" s="15" t="s">
        <v>19</v>
      </c>
      <c r="F9" s="16">
        <v>0.4583333333333333</v>
      </c>
      <c r="G9" s="17" t="s">
        <v>29</v>
      </c>
      <c r="H9" s="22"/>
      <c r="I9" s="19" t="str">
        <f t="shared" si="2"/>
        <v>TMD</v>
      </c>
      <c r="J9" s="19" t="str">
        <f t="shared" si="3"/>
        <v>ADU</v>
      </c>
      <c r="K9" s="20" t="str">
        <f t="array" ref="K9">XLOOKUP(I9, Faculty_Info!$A$1:$A$270, Faculty_Info!$B$1:$B$270)</f>
        <v>tamkin.mahmud@bracu.ac.bd</v>
      </c>
      <c r="L9" s="20" t="str">
        <f t="array" ref="L9">XLOOKUP(J9, Faculty_Info!$A$1:$A$270, Faculty_Info!$B$1:$B$270)</f>
        <v>ahmed.ruhan@bracu.ac.bd</v>
      </c>
    </row>
    <row r="10">
      <c r="A10" s="6" t="s">
        <v>44</v>
      </c>
      <c r="B10" s="7" t="str">
        <f t="shared" si="1"/>
        <v>09</v>
      </c>
      <c r="C10" s="7" t="s">
        <v>42</v>
      </c>
      <c r="D10" s="7" t="s">
        <v>45</v>
      </c>
      <c r="E10" s="7" t="s">
        <v>13</v>
      </c>
      <c r="F10" s="8">
        <v>0.3333333333333333</v>
      </c>
      <c r="G10" s="9" t="s">
        <v>14</v>
      </c>
      <c r="H10" s="10" t="s">
        <v>46</v>
      </c>
      <c r="I10" s="11" t="str">
        <f t="shared" si="2"/>
        <v>ANV</v>
      </c>
      <c r="J10" s="11" t="str">
        <f t="shared" si="3"/>
        <v>CNFH</v>
      </c>
      <c r="K10" s="12" t="str">
        <f t="array" ref="K10">XLOOKUP(I10, Faculty_Info!$A$1:$A$270, Faculty_Info!$B$1:$B$270)</f>
        <v>ext.anonto.shuvo@bracu.ac.bd</v>
      </c>
      <c r="L10" s="12" t="str">
        <f t="array" ref="L10">XLOOKUP(J10, Faculty_Info!$A$1:$A$270, Faculty_Info!$B$1:$B$270)</f>
        <v>ext.nafis.chowdhury@bracu.ac.bd</v>
      </c>
    </row>
    <row r="11">
      <c r="A11" s="14" t="s">
        <v>47</v>
      </c>
      <c r="B11" s="15" t="str">
        <f t="shared" si="1"/>
        <v>10</v>
      </c>
      <c r="C11" s="15" t="s">
        <v>48</v>
      </c>
      <c r="D11" s="15" t="s">
        <v>49</v>
      </c>
      <c r="E11" s="15" t="s">
        <v>19</v>
      </c>
      <c r="F11" s="16">
        <v>0.3333333333333333</v>
      </c>
      <c r="G11" s="17" t="s">
        <v>34</v>
      </c>
      <c r="H11" s="18"/>
      <c r="I11" s="19" t="str">
        <f t="shared" si="2"/>
        <v>AVB</v>
      </c>
      <c r="J11" s="19" t="str">
        <f t="shared" si="3"/>
        <v>QUZA</v>
      </c>
      <c r="K11" s="20" t="str">
        <f t="array" ref="K11">XLOOKUP(I11, Faculty_Info!$A$1:$A$270, Faculty_Info!$B$1:$B$270)</f>
        <v>avinandan@bracu.ac.bd</v>
      </c>
      <c r="L11" s="20" t="str">
        <f t="array" ref="L11">XLOOKUP(J11, Faculty_Info!$A$1:$A$270, Faculty_Info!$B$1:$B$270)</f>
        <v>quazi.ashikur@bracu.ac.bd</v>
      </c>
    </row>
    <row r="12">
      <c r="A12" s="6" t="s">
        <v>50</v>
      </c>
      <c r="B12" s="7" t="str">
        <f t="shared" si="1"/>
        <v>11</v>
      </c>
      <c r="C12" s="7" t="s">
        <v>48</v>
      </c>
      <c r="D12" s="7" t="s">
        <v>51</v>
      </c>
      <c r="E12" s="7" t="s">
        <v>19</v>
      </c>
      <c r="F12" s="8">
        <v>0.4583333333333333</v>
      </c>
      <c r="G12" s="9" t="s">
        <v>34</v>
      </c>
      <c r="H12" s="21"/>
      <c r="I12" s="11" t="str">
        <f t="shared" si="2"/>
        <v>AVB</v>
      </c>
      <c r="J12" s="11" t="str">
        <f t="shared" si="3"/>
        <v>FEK</v>
      </c>
      <c r="K12" s="12" t="str">
        <f t="array" ref="K12">XLOOKUP(I12, Faculty_Info!$A$1:$A$270, Faculty_Info!$B$1:$B$270)</f>
        <v>avinandan@bracu.ac.bd</v>
      </c>
      <c r="L12" s="12" t="str">
        <f t="array" ref="L12">XLOOKUP(J12, Faculty_Info!$A$1:$A$270, Faculty_Info!$B$1:$B$270)</f>
        <v>farden.khan@bracu.ac.bd</v>
      </c>
    </row>
    <row r="13">
      <c r="A13" s="14" t="s">
        <v>52</v>
      </c>
      <c r="B13" s="15" t="str">
        <f t="shared" si="1"/>
        <v>13</v>
      </c>
      <c r="C13" s="15" t="s">
        <v>38</v>
      </c>
      <c r="D13" s="15" t="s">
        <v>53</v>
      </c>
      <c r="E13" s="15" t="s">
        <v>19</v>
      </c>
      <c r="F13" s="16">
        <v>0.5833333333333334</v>
      </c>
      <c r="G13" s="17" t="s">
        <v>34</v>
      </c>
      <c r="H13" s="18"/>
      <c r="I13" s="19" t="str">
        <f t="shared" si="2"/>
        <v>ATY</v>
      </c>
      <c r="J13" s="19" t="str">
        <f t="shared" si="3"/>
        <v>CSSA</v>
      </c>
      <c r="K13" s="20" t="str">
        <f t="array" ref="K13">XLOOKUP(I13, Faculty_Info!$A$1:$A$270, Faculty_Info!$B$1:$B$270)</f>
        <v>ateya.ahmed@bracu.ac.bd</v>
      </c>
      <c r="L13" s="20" t="str">
        <f t="array" ref="L13">XLOOKUP(J13, Faculty_Info!$A$1:$A$270, Faculty_Info!$B$1:$B$270)</f>
        <v>ext.sadman.alif@bracu.ac.bd</v>
      </c>
    </row>
    <row r="14">
      <c r="A14" s="6" t="s">
        <v>54</v>
      </c>
      <c r="B14" s="7" t="str">
        <f t="shared" si="1"/>
        <v>14</v>
      </c>
      <c r="C14" s="7" t="s">
        <v>55</v>
      </c>
      <c r="D14" s="7" t="s">
        <v>56</v>
      </c>
      <c r="E14" s="7" t="s">
        <v>19</v>
      </c>
      <c r="F14" s="8">
        <v>0.3333333333333333</v>
      </c>
      <c r="G14" s="9" t="s">
        <v>29</v>
      </c>
      <c r="H14" s="21"/>
      <c r="I14" s="11" t="str">
        <f t="shared" si="2"/>
        <v>CNFH</v>
      </c>
      <c r="J14" s="11" t="str">
        <f t="shared" si="3"/>
        <v>AOH</v>
      </c>
      <c r="K14" s="12" t="str">
        <f t="array" ref="K14">XLOOKUP(I14, Faculty_Info!$A$1:$A$270, Faculty_Info!$B$1:$B$270)</f>
        <v>ext.nafis.chowdhury@bracu.ac.bd</v>
      </c>
      <c r="L14" s="12" t="str">
        <f t="array" ref="L14">XLOOKUP(J14, Faculty_Info!$A$1:$A$270, Faculty_Info!$B$1:$B$270)</f>
        <v>ext.abu.hasme@bracu.ac.bd</v>
      </c>
    </row>
    <row r="15">
      <c r="A15" s="14" t="s">
        <v>57</v>
      </c>
      <c r="B15" s="15" t="str">
        <f t="shared" si="1"/>
        <v>15</v>
      </c>
      <c r="C15" s="15" t="s">
        <v>58</v>
      </c>
      <c r="D15" s="15" t="s">
        <v>59</v>
      </c>
      <c r="E15" s="15" t="s">
        <v>13</v>
      </c>
      <c r="F15" s="16">
        <v>0.3333333333333333</v>
      </c>
      <c r="G15" s="17" t="s">
        <v>25</v>
      </c>
      <c r="H15" s="18"/>
      <c r="I15" s="19" t="str">
        <f t="shared" si="2"/>
        <v>AFA</v>
      </c>
      <c r="J15" s="19" t="str">
        <f t="shared" si="3"/>
        <v>AVB</v>
      </c>
      <c r="K15" s="20" t="str">
        <f t="array" ref="K15">XLOOKUP(I15, Faculty_Info!$A$1:$A$270, Faculty_Info!$B$1:$B$270)</f>
        <v>afroza.akther@bracu.ac.bd</v>
      </c>
      <c r="L15" s="20" t="str">
        <f t="array" ref="L15">XLOOKUP(J15, Faculty_Info!$A$1:$A$270, Faculty_Info!$B$1:$B$270)</f>
        <v>avinandan@bracu.ac.bd</v>
      </c>
    </row>
    <row r="16">
      <c r="A16" s="6" t="s">
        <v>60</v>
      </c>
      <c r="B16" s="7" t="str">
        <f t="shared" si="1"/>
        <v>16</v>
      </c>
      <c r="C16" s="7" t="s">
        <v>58</v>
      </c>
      <c r="D16" s="7" t="s">
        <v>61</v>
      </c>
      <c r="E16" s="7" t="s">
        <v>13</v>
      </c>
      <c r="F16" s="8">
        <v>0.4583333333333333</v>
      </c>
      <c r="G16" s="9" t="s">
        <v>25</v>
      </c>
      <c r="H16" s="21"/>
      <c r="I16" s="11" t="str">
        <f t="shared" si="2"/>
        <v>ANK</v>
      </c>
      <c r="J16" s="11" t="str">
        <f t="shared" si="3"/>
        <v>AFA</v>
      </c>
      <c r="K16" s="12" t="str">
        <f t="array" ref="K16">XLOOKUP(I16, Faculty_Info!$A$1:$A$270, Faculty_Info!$B$1:$B$270)</f>
        <v>abdullah.alnakib@bracu.ac.bd</v>
      </c>
      <c r="L16" s="12" t="str">
        <f t="array" ref="L16">XLOOKUP(J16, Faculty_Info!$A$1:$A$270, Faculty_Info!$B$1:$B$270)</f>
        <v>afroza.akther@bracu.ac.bd</v>
      </c>
    </row>
    <row r="17">
      <c r="A17" s="14" t="s">
        <v>62</v>
      </c>
      <c r="B17" s="15" t="str">
        <f t="shared" si="1"/>
        <v>17</v>
      </c>
      <c r="C17" s="15" t="s">
        <v>63</v>
      </c>
      <c r="D17" s="15" t="s">
        <v>64</v>
      </c>
      <c r="E17" s="15" t="s">
        <v>13</v>
      </c>
      <c r="F17" s="16">
        <v>0.5833333333333334</v>
      </c>
      <c r="G17" s="17" t="s">
        <v>14</v>
      </c>
      <c r="H17" s="22"/>
      <c r="I17" s="19" t="str">
        <f t="shared" si="2"/>
        <v>KNI</v>
      </c>
      <c r="J17" s="19" t="str">
        <f t="shared" si="3"/>
        <v>YND</v>
      </c>
      <c r="K17" s="20" t="str">
        <f t="array" ref="K17">XLOOKUP(I17, Faculty_Info!$A$1:$A$270, Faculty_Info!$B$1:$B$270)</f>
        <v>nazia.iqbal@bracu.ac.bd</v>
      </c>
      <c r="L17" s="20" t="str">
        <f t="array" ref="L17">XLOOKUP(J17, Faculty_Info!$A$1:$A$270, Faculty_Info!$B$1:$B$270)</f>
        <v>yasmin.nadia@bracu.ac.bd</v>
      </c>
    </row>
  </sheetData>
  <mergeCells count="2">
    <mergeCell ref="H2:H9"/>
    <mergeCell ref="H10:H17"/>
  </mergeCells>
  <hyperlinks>
    <hyperlink r:id="rId1" ref="H2"/>
    <hyperlink r:id="rId2" ref="H1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30.88"/>
    <col customWidth="1" min="4" max="4" width="31.63"/>
  </cols>
  <sheetData>
    <row r="1">
      <c r="A1" s="13" t="s">
        <v>65</v>
      </c>
    </row>
    <row r="2">
      <c r="A2" s="13" t="s">
        <v>66</v>
      </c>
    </row>
    <row r="3">
      <c r="A3" s="13" t="s">
        <v>40</v>
      </c>
      <c r="D3" s="13" t="str">
        <f t="array" ref="D3:D24">UNIQUE(A1:A84)</f>
        <v>abu.ibrahim@bracu.ac.bd</v>
      </c>
    </row>
    <row r="4">
      <c r="A4" s="13" t="s">
        <v>66</v>
      </c>
      <c r="D4" s="13" t="s">
        <v>66</v>
      </c>
    </row>
    <row r="5">
      <c r="A5" s="13" t="s">
        <v>33</v>
      </c>
      <c r="D5" s="13" t="s">
        <v>40</v>
      </c>
    </row>
    <row r="6">
      <c r="A6" s="13" t="s">
        <v>67</v>
      </c>
      <c r="D6" s="13" t="s">
        <v>33</v>
      </c>
    </row>
    <row r="7">
      <c r="A7" s="13" t="s">
        <v>40</v>
      </c>
      <c r="D7" s="13" t="s">
        <v>67</v>
      </c>
    </row>
    <row r="8">
      <c r="A8" s="13" t="s">
        <v>68</v>
      </c>
      <c r="D8" s="13" t="s">
        <v>68</v>
      </c>
    </row>
    <row r="9">
      <c r="A9" s="13" t="s">
        <v>69</v>
      </c>
      <c r="D9" s="13" t="s">
        <v>69</v>
      </c>
    </row>
    <row r="10">
      <c r="A10" s="13" t="s">
        <v>70</v>
      </c>
      <c r="D10" s="13" t="s">
        <v>70</v>
      </c>
    </row>
    <row r="11">
      <c r="A11" s="13" t="s">
        <v>70</v>
      </c>
      <c r="D11" s="13" t="s">
        <v>71</v>
      </c>
    </row>
    <row r="12">
      <c r="A12" s="13" t="s">
        <v>33</v>
      </c>
      <c r="D12" s="13" t="s">
        <v>72</v>
      </c>
    </row>
    <row r="13">
      <c r="A13" s="13" t="s">
        <v>71</v>
      </c>
      <c r="D13" s="13" t="s">
        <v>73</v>
      </c>
    </row>
    <row r="14">
      <c r="A14" s="13" t="s">
        <v>72</v>
      </c>
      <c r="D14" s="13" t="s">
        <v>74</v>
      </c>
    </row>
    <row r="15">
      <c r="A15" s="13" t="s">
        <v>73</v>
      </c>
      <c r="D15" s="13" t="s">
        <v>75</v>
      </c>
    </row>
    <row r="16">
      <c r="A16" s="13" t="s">
        <v>74</v>
      </c>
      <c r="D16" s="13" t="s">
        <v>76</v>
      </c>
    </row>
    <row r="17">
      <c r="A17" s="13" t="s">
        <v>33</v>
      </c>
      <c r="D17" s="13" t="s">
        <v>77</v>
      </c>
    </row>
    <row r="18">
      <c r="A18" s="13" t="s">
        <v>75</v>
      </c>
      <c r="D18" s="13" t="s">
        <v>78</v>
      </c>
    </row>
    <row r="19">
      <c r="A19" s="13" t="s">
        <v>76</v>
      </c>
      <c r="D19" s="13" t="s">
        <v>79</v>
      </c>
    </row>
    <row r="20">
      <c r="A20" s="13" t="s">
        <v>77</v>
      </c>
      <c r="D20" s="13" t="s">
        <v>80</v>
      </c>
    </row>
    <row r="21">
      <c r="A21" s="13" t="s">
        <v>75</v>
      </c>
      <c r="D21" s="13" t="s">
        <v>81</v>
      </c>
    </row>
    <row r="22">
      <c r="A22" s="13" t="s">
        <v>70</v>
      </c>
      <c r="D22" s="13" t="s">
        <v>82</v>
      </c>
    </row>
    <row r="23">
      <c r="A23" s="13" t="s">
        <v>78</v>
      </c>
      <c r="D23" s="13" t="s">
        <v>83</v>
      </c>
    </row>
    <row r="24">
      <c r="A24" s="13" t="s">
        <v>79</v>
      </c>
      <c r="D24" s="13"/>
    </row>
    <row r="25">
      <c r="A25" s="13" t="s">
        <v>71</v>
      </c>
    </row>
    <row r="26">
      <c r="A26" s="13" t="s">
        <v>80</v>
      </c>
    </row>
    <row r="27">
      <c r="A27" s="13" t="s">
        <v>81</v>
      </c>
      <c r="B27" s="23"/>
    </row>
    <row r="28">
      <c r="A28" s="13" t="s">
        <v>82</v>
      </c>
      <c r="B28" s="23"/>
    </row>
    <row r="29">
      <c r="A29" s="13" t="s">
        <v>75</v>
      </c>
      <c r="B29" s="23"/>
    </row>
    <row r="30">
      <c r="A30" s="13" t="s">
        <v>70</v>
      </c>
      <c r="B30" s="23"/>
    </row>
    <row r="31">
      <c r="A31" s="13" t="s">
        <v>72</v>
      </c>
      <c r="B31" s="23"/>
      <c r="F31" s="13" t="str">
        <f>IFERROR(__xludf.DUMMYFUNCTION("join("","",D3:D31)"),"abu.ibrahim@bracu.ac.bd,tawhid.anwar@bracu.ac.bd,ext.anika.islam@bracu.ac.bd,ateya.ahmed@bracu.ac.bd,fakhruddin.gazzali@bracu.ac.bd,tamkin.mahmud@bracu.ac.bd,ext.anonto.shuvo@bracu.ac.bd,avinandan@bracu.ac.bd,ext.nafis.chowdhury@bracu.ac.bd,afroza.akther@"&amp;"bracu.ac.bd,abdullah.alnakib@bracu.ac.bd,nazia.iqbal@bracu.ac.bd,ext.abu.hasme@bracu.ac.bd,ext.hamim.nasim@bracu.ac.bd,mohammad.rakibul@bracu.ac.bd,ext.ruhan.habib@bracu.ac.bd,ahmed.ruhan@bracu.ac.bd,quazi.ashikur@bracu.ac.bd,farden.khan@bracu.ac.bd,ext.s"&amp;"adman.alif@bracu.ac.bd,yasmin.nadia@bracu.ac.bd,,,,,,,,")</f>
        <v>abu.ibrahim@bracu.ac.bd,tawhid.anwar@bracu.ac.bd,ext.anika.islam@bracu.ac.bd,ateya.ahmed@bracu.ac.bd,fakhruddin.gazzali@bracu.ac.bd,tamkin.mahmud@bracu.ac.bd,ext.anonto.shuvo@bracu.ac.bd,avinandan@bracu.ac.bd,ext.nafis.chowdhury@bracu.ac.bd,afroza.akther@bracu.ac.bd,abdullah.alnakib@bracu.ac.bd,nazia.iqbal@bracu.ac.bd,ext.abu.hasme@bracu.ac.bd,ext.hamim.nasim@bracu.ac.bd,mohammad.rakibul@bracu.ac.bd,ext.ruhan.habib@bracu.ac.bd,ahmed.ruhan@bracu.ac.bd,quazi.ashikur@bracu.ac.bd,farden.khan@bracu.ac.bd,ext.sadman.alif@bracu.ac.bd,yasmin.nadia@bracu.ac.bd,,,,,,,,</v>
      </c>
    </row>
    <row r="32">
      <c r="A32" s="13" t="s">
        <v>83</v>
      </c>
      <c r="B32" s="23"/>
    </row>
    <row r="33">
      <c r="B33" s="23"/>
    </row>
    <row r="34">
      <c r="B34" s="23"/>
    </row>
    <row r="35">
      <c r="B35" s="23"/>
    </row>
    <row r="36">
      <c r="B36" s="23"/>
    </row>
    <row r="37">
      <c r="B37" s="23"/>
    </row>
    <row r="38">
      <c r="B38" s="23"/>
    </row>
    <row r="39">
      <c r="B39" s="23"/>
    </row>
    <row r="40">
      <c r="B40" s="23"/>
    </row>
    <row r="41">
      <c r="B41" s="23"/>
    </row>
    <row r="42">
      <c r="B42" s="23"/>
    </row>
    <row r="43">
      <c r="B43" s="23"/>
    </row>
    <row r="44">
      <c r="B44" s="23"/>
    </row>
    <row r="45">
      <c r="B45" s="23"/>
    </row>
    <row r="46">
      <c r="B46" s="23"/>
    </row>
    <row r="47">
      <c r="B47" s="23"/>
    </row>
    <row r="48">
      <c r="B48" s="23"/>
    </row>
    <row r="49">
      <c r="B49" s="23"/>
    </row>
    <row r="50">
      <c r="B50" s="23"/>
    </row>
    <row r="51">
      <c r="B5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3.0"/>
    <col customWidth="1" min="10" max="10" width="30.25"/>
  </cols>
  <sheetData>
    <row r="1">
      <c r="A1" s="13" t="s">
        <v>0</v>
      </c>
      <c r="B1" s="13" t="s">
        <v>1</v>
      </c>
      <c r="C1" s="13" t="s">
        <v>2</v>
      </c>
      <c r="D1" s="13" t="s">
        <v>3</v>
      </c>
      <c r="E1" s="13" t="s">
        <v>4</v>
      </c>
      <c r="F1" s="13" t="s">
        <v>84</v>
      </c>
      <c r="G1" s="13" t="s">
        <v>6</v>
      </c>
      <c r="H1" s="13" t="s">
        <v>7</v>
      </c>
      <c r="I1" s="13" t="s">
        <v>8</v>
      </c>
      <c r="J1" s="13" t="s">
        <v>9</v>
      </c>
    </row>
    <row r="2">
      <c r="A2" s="24" t="s">
        <v>85</v>
      </c>
      <c r="B2" s="23" t="s">
        <v>12</v>
      </c>
      <c r="C2" s="23" t="s">
        <v>13</v>
      </c>
      <c r="D2" s="25">
        <v>0.4583333333333333</v>
      </c>
      <c r="E2" s="26" t="s">
        <v>14</v>
      </c>
      <c r="F2" s="23" t="s">
        <v>15</v>
      </c>
      <c r="G2" s="23" t="s">
        <v>48</v>
      </c>
      <c r="H2" s="23" t="s">
        <v>86</v>
      </c>
      <c r="I2" s="23" t="s">
        <v>65</v>
      </c>
      <c r="J2" s="23" t="s">
        <v>33</v>
      </c>
      <c r="K2" s="23"/>
    </row>
    <row r="3">
      <c r="A3" s="24" t="s">
        <v>87</v>
      </c>
      <c r="B3" s="23" t="s">
        <v>18</v>
      </c>
      <c r="C3" s="23" t="s">
        <v>19</v>
      </c>
      <c r="D3" s="25">
        <v>0.5833333333333334</v>
      </c>
      <c r="E3" s="26" t="s">
        <v>20</v>
      </c>
      <c r="F3" s="23"/>
      <c r="G3" s="23" t="s">
        <v>17</v>
      </c>
      <c r="H3" s="23" t="s">
        <v>88</v>
      </c>
      <c r="I3" s="23" t="s">
        <v>66</v>
      </c>
      <c r="J3" s="23" t="s">
        <v>75</v>
      </c>
      <c r="K3" s="23"/>
    </row>
    <row r="4">
      <c r="A4" s="24" t="s">
        <v>89</v>
      </c>
      <c r="B4" s="23" t="s">
        <v>23</v>
      </c>
      <c r="C4" s="23" t="s">
        <v>19</v>
      </c>
      <c r="D4" s="25">
        <v>0.5833333333333334</v>
      </c>
      <c r="E4" s="26" t="s">
        <v>24</v>
      </c>
      <c r="F4" s="23"/>
      <c r="G4" s="23" t="s">
        <v>90</v>
      </c>
      <c r="H4" s="23" t="s">
        <v>91</v>
      </c>
      <c r="I4" s="23" t="s">
        <v>40</v>
      </c>
      <c r="J4" s="23" t="s">
        <v>76</v>
      </c>
      <c r="K4" s="23"/>
    </row>
    <row r="5">
      <c r="A5" s="24" t="s">
        <v>92</v>
      </c>
      <c r="B5" s="23" t="s">
        <v>27</v>
      </c>
      <c r="C5" s="23" t="s">
        <v>28</v>
      </c>
      <c r="D5" s="25">
        <v>0.4583333333333333</v>
      </c>
      <c r="E5" s="26" t="s">
        <v>20</v>
      </c>
      <c r="F5" s="23"/>
      <c r="G5" s="23" t="s">
        <v>17</v>
      </c>
      <c r="H5" s="23" t="s">
        <v>38</v>
      </c>
      <c r="I5" s="23" t="s">
        <v>66</v>
      </c>
      <c r="J5" s="23" t="s">
        <v>77</v>
      </c>
      <c r="K5" s="23"/>
    </row>
    <row r="6">
      <c r="A6" s="24" t="s">
        <v>93</v>
      </c>
      <c r="B6" s="23" t="s">
        <v>32</v>
      </c>
      <c r="C6" s="23" t="s">
        <v>13</v>
      </c>
      <c r="D6" s="25">
        <v>0.3333333333333333</v>
      </c>
      <c r="E6" s="26" t="s">
        <v>21</v>
      </c>
      <c r="F6" s="23"/>
      <c r="G6" s="23" t="s">
        <v>91</v>
      </c>
      <c r="H6" s="23" t="s">
        <v>88</v>
      </c>
      <c r="I6" s="23" t="s">
        <v>33</v>
      </c>
      <c r="J6" s="23" t="s">
        <v>75</v>
      </c>
      <c r="K6" s="23"/>
    </row>
    <row r="7">
      <c r="A7" s="24" t="s">
        <v>94</v>
      </c>
      <c r="B7" s="23" t="s">
        <v>36</v>
      </c>
      <c r="C7" s="23" t="s">
        <v>13</v>
      </c>
      <c r="D7" s="25">
        <v>0.4583333333333333</v>
      </c>
      <c r="E7" s="26" t="s">
        <v>21</v>
      </c>
      <c r="F7" s="23"/>
      <c r="G7" s="23" t="s">
        <v>95</v>
      </c>
      <c r="H7" s="23" t="s">
        <v>96</v>
      </c>
      <c r="I7" s="23" t="s">
        <v>67</v>
      </c>
      <c r="J7" s="23" t="s">
        <v>70</v>
      </c>
      <c r="K7" s="23"/>
    </row>
    <row r="8">
      <c r="A8" s="24" t="s">
        <v>97</v>
      </c>
      <c r="B8" s="23" t="s">
        <v>39</v>
      </c>
      <c r="C8" s="23" t="s">
        <v>19</v>
      </c>
      <c r="D8" s="25">
        <v>0.5833333333333334</v>
      </c>
      <c r="E8" s="26" t="s">
        <v>29</v>
      </c>
      <c r="F8" s="23"/>
      <c r="G8" s="23" t="s">
        <v>55</v>
      </c>
      <c r="H8" s="23" t="s">
        <v>98</v>
      </c>
      <c r="I8" s="23" t="s">
        <v>40</v>
      </c>
      <c r="J8" s="23" t="s">
        <v>78</v>
      </c>
      <c r="K8" s="23"/>
    </row>
    <row r="9">
      <c r="A9" s="24" t="s">
        <v>99</v>
      </c>
      <c r="B9" s="23" t="s">
        <v>43</v>
      </c>
      <c r="C9" s="23" t="s">
        <v>19</v>
      </c>
      <c r="D9" s="25">
        <v>0.4583333333333333</v>
      </c>
      <c r="E9" s="26" t="s">
        <v>29</v>
      </c>
      <c r="F9" s="23"/>
      <c r="G9" s="23" t="s">
        <v>100</v>
      </c>
      <c r="H9" s="23" t="s">
        <v>31</v>
      </c>
      <c r="I9" s="23" t="s">
        <v>68</v>
      </c>
      <c r="J9" s="23" t="s">
        <v>79</v>
      </c>
      <c r="K9" s="23"/>
    </row>
    <row r="10">
      <c r="A10" s="24" t="s">
        <v>101</v>
      </c>
      <c r="B10" s="23" t="s">
        <v>45</v>
      </c>
      <c r="C10" s="23" t="s">
        <v>13</v>
      </c>
      <c r="D10" s="25">
        <v>0.3333333333333333</v>
      </c>
      <c r="E10" s="26" t="s">
        <v>14</v>
      </c>
      <c r="F10" s="23"/>
      <c r="G10" s="23" t="s">
        <v>102</v>
      </c>
      <c r="H10" s="23" t="s">
        <v>103</v>
      </c>
      <c r="I10" s="23" t="s">
        <v>69</v>
      </c>
      <c r="J10" s="23" t="s">
        <v>71</v>
      </c>
      <c r="K10" s="23"/>
    </row>
    <row r="11">
      <c r="A11" s="24" t="s">
        <v>104</v>
      </c>
      <c r="B11" s="23" t="s">
        <v>49</v>
      </c>
      <c r="C11" s="23" t="s">
        <v>19</v>
      </c>
      <c r="D11" s="25">
        <v>0.3333333333333333</v>
      </c>
      <c r="E11" s="26" t="s">
        <v>34</v>
      </c>
      <c r="F11" s="23"/>
      <c r="G11" s="23" t="s">
        <v>96</v>
      </c>
      <c r="H11" s="23" t="s">
        <v>63</v>
      </c>
      <c r="I11" s="23" t="s">
        <v>70</v>
      </c>
      <c r="J11" s="23" t="s">
        <v>80</v>
      </c>
      <c r="K11" s="23"/>
    </row>
    <row r="12">
      <c r="A12" s="24" t="s">
        <v>105</v>
      </c>
      <c r="B12" s="23" t="s">
        <v>51</v>
      </c>
      <c r="C12" s="23" t="s">
        <v>19</v>
      </c>
      <c r="D12" s="25">
        <v>0.4583333333333333</v>
      </c>
      <c r="E12" s="26" t="s">
        <v>34</v>
      </c>
      <c r="F12" s="23"/>
      <c r="G12" s="23" t="s">
        <v>96</v>
      </c>
      <c r="H12" s="23" t="s">
        <v>106</v>
      </c>
      <c r="I12" s="23" t="s">
        <v>70</v>
      </c>
      <c r="J12" s="23" t="s">
        <v>81</v>
      </c>
      <c r="K12" s="23"/>
    </row>
    <row r="13">
      <c r="A13" s="24" t="s">
        <v>107</v>
      </c>
      <c r="B13" s="23" t="s">
        <v>53</v>
      </c>
      <c r="C13" s="23" t="s">
        <v>19</v>
      </c>
      <c r="D13" s="25">
        <v>0.5833333333333334</v>
      </c>
      <c r="E13" s="26" t="s">
        <v>34</v>
      </c>
      <c r="F13" s="23"/>
      <c r="G13" s="23" t="s">
        <v>86</v>
      </c>
      <c r="H13" s="23" t="s">
        <v>108</v>
      </c>
      <c r="I13" s="23" t="s">
        <v>33</v>
      </c>
      <c r="J13" s="23" t="s">
        <v>82</v>
      </c>
      <c r="K13" s="23"/>
    </row>
    <row r="14">
      <c r="A14" s="24" t="s">
        <v>109</v>
      </c>
      <c r="B14" s="23" t="s">
        <v>56</v>
      </c>
      <c r="C14" s="23" t="s">
        <v>19</v>
      </c>
      <c r="D14" s="25">
        <v>0.3333333333333333</v>
      </c>
      <c r="E14" s="26" t="s">
        <v>29</v>
      </c>
      <c r="F14" s="23"/>
      <c r="G14" s="23" t="s">
        <v>103</v>
      </c>
      <c r="H14" s="23" t="s">
        <v>88</v>
      </c>
      <c r="I14" s="23" t="s">
        <v>71</v>
      </c>
      <c r="J14" s="23" t="s">
        <v>75</v>
      </c>
      <c r="K14" s="23"/>
    </row>
    <row r="15">
      <c r="A15" s="24" t="s">
        <v>110</v>
      </c>
      <c r="B15" s="23" t="s">
        <v>59</v>
      </c>
      <c r="C15" s="23" t="s">
        <v>13</v>
      </c>
      <c r="D15" s="25">
        <v>0.3333333333333333</v>
      </c>
      <c r="E15" s="26" t="s">
        <v>25</v>
      </c>
      <c r="F15" s="23"/>
      <c r="G15" s="23" t="s">
        <v>55</v>
      </c>
      <c r="H15" s="23" t="s">
        <v>96</v>
      </c>
      <c r="I15" s="23" t="s">
        <v>72</v>
      </c>
      <c r="J15" s="23" t="s">
        <v>70</v>
      </c>
      <c r="K15" s="23"/>
    </row>
    <row r="16">
      <c r="A16" s="24" t="s">
        <v>111</v>
      </c>
      <c r="B16" s="23" t="s">
        <v>61</v>
      </c>
      <c r="C16" s="23" t="s">
        <v>13</v>
      </c>
      <c r="D16" s="25">
        <v>0.4583333333333333</v>
      </c>
      <c r="E16" s="26" t="s">
        <v>25</v>
      </c>
      <c r="F16" s="23"/>
      <c r="G16" s="23" t="s">
        <v>11</v>
      </c>
      <c r="H16" s="23" t="s">
        <v>55</v>
      </c>
      <c r="I16" s="23" t="s">
        <v>73</v>
      </c>
      <c r="J16" s="23" t="s">
        <v>72</v>
      </c>
      <c r="K16" s="23"/>
    </row>
    <row r="17">
      <c r="A17" s="24" t="s">
        <v>112</v>
      </c>
      <c r="B17" s="23" t="s">
        <v>64</v>
      </c>
      <c r="C17" s="23" t="s">
        <v>13</v>
      </c>
      <c r="D17" s="25">
        <v>0.5833333333333334</v>
      </c>
      <c r="E17" s="26" t="s">
        <v>14</v>
      </c>
      <c r="F17" s="23"/>
      <c r="G17" s="23" t="s">
        <v>42</v>
      </c>
      <c r="H17" s="23" t="s">
        <v>113</v>
      </c>
      <c r="I17" s="23" t="s">
        <v>74</v>
      </c>
      <c r="J17" s="23" t="s">
        <v>83</v>
      </c>
      <c r="K17" s="23"/>
    </row>
    <row r="18">
      <c r="D18" s="27"/>
    </row>
    <row r="19">
      <c r="D19" s="27"/>
    </row>
    <row r="20">
      <c r="D20" s="27"/>
    </row>
    <row r="21">
      <c r="D21" s="27"/>
    </row>
    <row r="22">
      <c r="D22" s="27"/>
    </row>
    <row r="23">
      <c r="D23" s="27"/>
    </row>
    <row r="24">
      <c r="D24" s="27"/>
    </row>
    <row r="25">
      <c r="D25" s="27"/>
    </row>
    <row r="35">
      <c r="A35" s="24" t="s">
        <v>114</v>
      </c>
      <c r="B35" s="24" t="s">
        <v>115</v>
      </c>
    </row>
    <row r="36">
      <c r="A36" s="13" t="str">
        <f>IFERROR(__xludf.DUMMYFUNCTION("FILTER(Details!B:B, Details!E:E = ""TUE"")
"),"01")</f>
        <v>01</v>
      </c>
      <c r="B36" s="13" t="str">
        <f>IFERROR(__xludf.DUMMYFUNCTION("FILTER(Details!B:B, Details!E:E = ""WED"")
"),"02")</f>
        <v>02</v>
      </c>
    </row>
    <row r="37">
      <c r="A37" s="13" t="str">
        <f>IFERROR(__xludf.DUMMYFUNCTION("""COMPUTED_VALUE"""),"05")</f>
        <v>05</v>
      </c>
      <c r="B37" s="13" t="str">
        <f>IFERROR(__xludf.DUMMYFUNCTION("""COMPUTED_VALUE"""),"03")</f>
        <v>03</v>
      </c>
    </row>
    <row r="38">
      <c r="A38" s="13" t="str">
        <f>IFERROR(__xludf.DUMMYFUNCTION("""COMPUTED_VALUE"""),"06")</f>
        <v>06</v>
      </c>
      <c r="B38" s="13" t="str">
        <f>IFERROR(__xludf.DUMMYFUNCTION("""COMPUTED_VALUE"""),"07")</f>
        <v>07</v>
      </c>
    </row>
    <row r="39">
      <c r="A39" s="13" t="str">
        <f>IFERROR(__xludf.DUMMYFUNCTION("""COMPUTED_VALUE"""),"09")</f>
        <v>09</v>
      </c>
      <c r="B39" s="13" t="str">
        <f>IFERROR(__xludf.DUMMYFUNCTION("""COMPUTED_VALUE"""),"08")</f>
        <v>08</v>
      </c>
    </row>
    <row r="40">
      <c r="A40" s="13" t="str">
        <f>IFERROR(__xludf.DUMMYFUNCTION("""COMPUTED_VALUE"""),"15")</f>
        <v>15</v>
      </c>
      <c r="B40" s="13" t="str">
        <f>IFERROR(__xludf.DUMMYFUNCTION("""COMPUTED_VALUE"""),"10")</f>
        <v>10</v>
      </c>
    </row>
    <row r="41">
      <c r="A41" s="13" t="str">
        <f>IFERROR(__xludf.DUMMYFUNCTION("""COMPUTED_VALUE"""),"16")</f>
        <v>16</v>
      </c>
      <c r="B41" s="13" t="str">
        <f>IFERROR(__xludf.DUMMYFUNCTION("""COMPUTED_VALUE"""),"11")</f>
        <v>11</v>
      </c>
    </row>
    <row r="42">
      <c r="A42" s="13" t="str">
        <f>IFERROR(__xludf.DUMMYFUNCTION("""COMPUTED_VALUE"""),"17")</f>
        <v>17</v>
      </c>
      <c r="B42" s="13" t="str">
        <f>IFERROR(__xludf.DUMMYFUNCTION("""COMPUTED_VALUE"""),"13")</f>
        <v>13</v>
      </c>
    </row>
    <row r="43">
      <c r="B43" s="13" t="str">
        <f>IFERROR(__xludf.DUMMYFUNCTION("""COMPUTED_VALUE"""),"14")</f>
        <v>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22.38"/>
    <col customWidth="1" min="4" max="4" width="29.38"/>
    <col customWidth="1" min="6" max="6" width="31.88"/>
  </cols>
  <sheetData>
    <row r="1">
      <c r="A1" s="24" t="s">
        <v>116</v>
      </c>
      <c r="B1" s="24" t="s">
        <v>117</v>
      </c>
      <c r="C1" s="24" t="s">
        <v>118</v>
      </c>
      <c r="D1" s="24" t="s">
        <v>119</v>
      </c>
      <c r="E1" s="24" t="s">
        <v>120</v>
      </c>
      <c r="F1" s="24" t="s">
        <v>121</v>
      </c>
    </row>
    <row r="2">
      <c r="A2" s="24" t="s">
        <v>122</v>
      </c>
      <c r="B2" s="24" t="s">
        <v>123</v>
      </c>
      <c r="C2" s="24" t="s">
        <v>124</v>
      </c>
      <c r="D2" s="24" t="s">
        <v>125</v>
      </c>
      <c r="E2" s="24" t="s">
        <v>120</v>
      </c>
      <c r="F2" s="24" t="s">
        <v>126</v>
      </c>
    </row>
    <row r="3">
      <c r="A3" s="24" t="s">
        <v>31</v>
      </c>
      <c r="B3" s="24" t="s">
        <v>79</v>
      </c>
      <c r="C3" s="24" t="s">
        <v>127</v>
      </c>
      <c r="D3" s="24" t="s">
        <v>128</v>
      </c>
      <c r="E3" s="24" t="s">
        <v>120</v>
      </c>
      <c r="F3" s="24" t="s">
        <v>129</v>
      </c>
    </row>
    <row r="4">
      <c r="A4" s="24" t="s">
        <v>55</v>
      </c>
      <c r="B4" s="24" t="s">
        <v>72</v>
      </c>
      <c r="C4" s="24" t="s">
        <v>130</v>
      </c>
      <c r="D4" s="24" t="s">
        <v>128</v>
      </c>
      <c r="E4" s="24" t="s">
        <v>120</v>
      </c>
      <c r="F4" s="24" t="s">
        <v>131</v>
      </c>
    </row>
    <row r="5">
      <c r="A5" s="24" t="s">
        <v>132</v>
      </c>
      <c r="B5" s="24" t="s">
        <v>133</v>
      </c>
      <c r="C5" s="24" t="s">
        <v>134</v>
      </c>
      <c r="D5" s="24" t="s">
        <v>128</v>
      </c>
      <c r="E5" s="24" t="s">
        <v>120</v>
      </c>
      <c r="F5" s="24" t="s">
        <v>135</v>
      </c>
    </row>
    <row r="6">
      <c r="A6" s="24" t="s">
        <v>48</v>
      </c>
      <c r="B6" s="24" t="s">
        <v>65</v>
      </c>
      <c r="C6" s="24" t="s">
        <v>136</v>
      </c>
      <c r="D6" s="24" t="s">
        <v>128</v>
      </c>
      <c r="E6" s="24" t="s">
        <v>120</v>
      </c>
      <c r="F6" s="24" t="s">
        <v>137</v>
      </c>
    </row>
    <row r="7">
      <c r="A7" s="24" t="s">
        <v>138</v>
      </c>
      <c r="B7" s="24" t="s">
        <v>139</v>
      </c>
      <c r="C7" s="24" t="s">
        <v>140</v>
      </c>
      <c r="D7" s="24" t="s">
        <v>128</v>
      </c>
      <c r="E7" s="24" t="s">
        <v>120</v>
      </c>
      <c r="F7" s="24" t="s">
        <v>141</v>
      </c>
    </row>
    <row r="8">
      <c r="A8" s="24" t="s">
        <v>142</v>
      </c>
      <c r="B8" s="24" t="s">
        <v>143</v>
      </c>
      <c r="C8" s="24" t="s">
        <v>144</v>
      </c>
      <c r="D8" s="24" t="s">
        <v>128</v>
      </c>
      <c r="E8" s="24" t="s">
        <v>120</v>
      </c>
      <c r="F8" s="24" t="s">
        <v>145</v>
      </c>
    </row>
    <row r="9">
      <c r="A9" s="24" t="s">
        <v>146</v>
      </c>
      <c r="B9" s="24" t="s">
        <v>147</v>
      </c>
      <c r="C9" s="24" t="s">
        <v>148</v>
      </c>
      <c r="D9" s="24" t="s">
        <v>119</v>
      </c>
      <c r="E9" s="24" t="s">
        <v>120</v>
      </c>
      <c r="F9" s="24" t="s">
        <v>149</v>
      </c>
    </row>
    <row r="10">
      <c r="A10" s="24" t="s">
        <v>150</v>
      </c>
      <c r="B10" s="24" t="s">
        <v>151</v>
      </c>
      <c r="C10" s="24" t="s">
        <v>152</v>
      </c>
      <c r="D10" s="24" t="s">
        <v>128</v>
      </c>
      <c r="E10" s="24" t="s">
        <v>120</v>
      </c>
      <c r="F10" s="24" t="s">
        <v>153</v>
      </c>
    </row>
    <row r="11">
      <c r="A11" s="24" t="s">
        <v>154</v>
      </c>
      <c r="B11" s="24" t="s">
        <v>155</v>
      </c>
      <c r="C11" s="24" t="s">
        <v>156</v>
      </c>
      <c r="D11" s="24" t="s">
        <v>157</v>
      </c>
      <c r="E11" s="24" t="s">
        <v>120</v>
      </c>
      <c r="F11" s="24" t="s">
        <v>158</v>
      </c>
    </row>
    <row r="12">
      <c r="A12" s="24" t="s">
        <v>11</v>
      </c>
      <c r="B12" s="24" t="s">
        <v>73</v>
      </c>
      <c r="C12" s="24" t="s">
        <v>159</v>
      </c>
      <c r="D12" s="24" t="s">
        <v>128</v>
      </c>
      <c r="E12" s="24" t="s">
        <v>120</v>
      </c>
      <c r="F12" s="24" t="s">
        <v>160</v>
      </c>
    </row>
    <row r="13">
      <c r="A13" s="24" t="s">
        <v>161</v>
      </c>
      <c r="B13" s="24" t="s">
        <v>162</v>
      </c>
      <c r="C13" s="24" t="s">
        <v>163</v>
      </c>
      <c r="D13" s="24" t="s">
        <v>128</v>
      </c>
      <c r="E13" s="24" t="s">
        <v>120</v>
      </c>
      <c r="F13" s="24" t="s">
        <v>164</v>
      </c>
    </row>
    <row r="14">
      <c r="A14" s="24" t="s">
        <v>165</v>
      </c>
      <c r="B14" s="24" t="s">
        <v>166</v>
      </c>
      <c r="C14" s="24" t="s">
        <v>167</v>
      </c>
      <c r="D14" s="24" t="s">
        <v>128</v>
      </c>
      <c r="E14" s="24" t="s">
        <v>120</v>
      </c>
      <c r="F14" s="24" t="s">
        <v>168</v>
      </c>
    </row>
    <row r="15">
      <c r="A15" s="24" t="s">
        <v>169</v>
      </c>
      <c r="B15" s="24" t="s">
        <v>170</v>
      </c>
      <c r="C15" s="24" t="s">
        <v>171</v>
      </c>
      <c r="D15" s="24" t="s">
        <v>128</v>
      </c>
      <c r="E15" s="24" t="s">
        <v>120</v>
      </c>
      <c r="F15" s="24" t="s">
        <v>172</v>
      </c>
    </row>
    <row r="16">
      <c r="A16" s="24" t="s">
        <v>173</v>
      </c>
      <c r="B16" s="24" t="s">
        <v>174</v>
      </c>
      <c r="C16" s="24" t="s">
        <v>175</v>
      </c>
      <c r="D16" s="24" t="s">
        <v>119</v>
      </c>
      <c r="E16" s="24" t="s">
        <v>120</v>
      </c>
      <c r="F16" s="24" t="s">
        <v>176</v>
      </c>
    </row>
    <row r="17">
      <c r="A17" s="24" t="s">
        <v>177</v>
      </c>
      <c r="B17" s="24" t="s">
        <v>178</v>
      </c>
      <c r="C17" s="24" t="s">
        <v>179</v>
      </c>
      <c r="D17" s="24" t="s">
        <v>128</v>
      </c>
      <c r="E17" s="24" t="s">
        <v>120</v>
      </c>
      <c r="F17" s="24" t="s">
        <v>180</v>
      </c>
    </row>
    <row r="18">
      <c r="A18" s="24" t="s">
        <v>181</v>
      </c>
      <c r="B18" s="24" t="s">
        <v>182</v>
      </c>
      <c r="C18" s="24" t="s">
        <v>183</v>
      </c>
      <c r="D18" s="24" t="s">
        <v>119</v>
      </c>
      <c r="E18" s="24" t="s">
        <v>120</v>
      </c>
      <c r="F18" s="24" t="s">
        <v>184</v>
      </c>
    </row>
    <row r="19">
      <c r="A19" s="24" t="s">
        <v>185</v>
      </c>
      <c r="B19" s="24" t="s">
        <v>186</v>
      </c>
      <c r="C19" s="24" t="s">
        <v>187</v>
      </c>
      <c r="D19" s="24" t="s">
        <v>128</v>
      </c>
      <c r="E19" s="24" t="s">
        <v>120</v>
      </c>
      <c r="F19" s="24" t="s">
        <v>188</v>
      </c>
    </row>
    <row r="20">
      <c r="A20" s="24" t="s">
        <v>189</v>
      </c>
      <c r="B20" s="24" t="s">
        <v>190</v>
      </c>
      <c r="C20" s="24" t="s">
        <v>191</v>
      </c>
      <c r="D20" s="24" t="s">
        <v>157</v>
      </c>
      <c r="E20" s="24" t="s">
        <v>120</v>
      </c>
      <c r="F20" s="24" t="s">
        <v>192</v>
      </c>
    </row>
    <row r="21">
      <c r="A21" s="24" t="s">
        <v>193</v>
      </c>
      <c r="B21" s="24" t="s">
        <v>194</v>
      </c>
      <c r="C21" s="24" t="s">
        <v>195</v>
      </c>
      <c r="D21" s="24" t="s">
        <v>128</v>
      </c>
      <c r="E21" s="24" t="s">
        <v>120</v>
      </c>
      <c r="F21" s="24" t="s">
        <v>196</v>
      </c>
    </row>
    <row r="22">
      <c r="A22" s="24" t="s">
        <v>197</v>
      </c>
      <c r="B22" s="24" t="s">
        <v>198</v>
      </c>
      <c r="C22" s="24" t="s">
        <v>199</v>
      </c>
      <c r="D22" s="24" t="s">
        <v>128</v>
      </c>
      <c r="E22" s="24" t="s">
        <v>120</v>
      </c>
      <c r="F22" s="24" t="s">
        <v>200</v>
      </c>
    </row>
    <row r="23">
      <c r="A23" s="24" t="s">
        <v>86</v>
      </c>
      <c r="B23" s="24" t="s">
        <v>33</v>
      </c>
      <c r="C23" s="24" t="s">
        <v>201</v>
      </c>
      <c r="D23" s="24" t="s">
        <v>128</v>
      </c>
      <c r="E23" s="24" t="s">
        <v>120</v>
      </c>
      <c r="F23" s="24" t="s">
        <v>202</v>
      </c>
    </row>
    <row r="24">
      <c r="A24" s="24" t="s">
        <v>96</v>
      </c>
      <c r="B24" s="24" t="s">
        <v>70</v>
      </c>
      <c r="C24" s="24" t="s">
        <v>203</v>
      </c>
      <c r="D24" s="24" t="s">
        <v>128</v>
      </c>
      <c r="E24" s="24" t="s">
        <v>120</v>
      </c>
      <c r="F24" s="24" t="s">
        <v>204</v>
      </c>
    </row>
    <row r="25">
      <c r="A25" s="24" t="s">
        <v>205</v>
      </c>
      <c r="B25" s="24" t="s">
        <v>206</v>
      </c>
      <c r="C25" s="24" t="s">
        <v>207</v>
      </c>
      <c r="D25" s="24" t="s">
        <v>128</v>
      </c>
      <c r="E25" s="24" t="s">
        <v>120</v>
      </c>
      <c r="F25" s="24" t="s">
        <v>208</v>
      </c>
    </row>
    <row r="26">
      <c r="A26" s="24" t="s">
        <v>209</v>
      </c>
      <c r="B26" s="24" t="s">
        <v>210</v>
      </c>
      <c r="C26" s="24" t="s">
        <v>211</v>
      </c>
      <c r="D26" s="24" t="s">
        <v>128</v>
      </c>
      <c r="E26" s="24" t="s">
        <v>120</v>
      </c>
      <c r="F26" s="24" t="s">
        <v>212</v>
      </c>
    </row>
    <row r="27">
      <c r="A27" s="24" t="s">
        <v>213</v>
      </c>
      <c r="B27" s="24" t="s">
        <v>214</v>
      </c>
      <c r="C27" s="24" t="s">
        <v>215</v>
      </c>
      <c r="D27" s="24" t="s">
        <v>128</v>
      </c>
      <c r="E27" s="24" t="s">
        <v>120</v>
      </c>
      <c r="F27" s="24" t="s">
        <v>216</v>
      </c>
    </row>
    <row r="28">
      <c r="A28" s="24" t="s">
        <v>217</v>
      </c>
      <c r="B28" s="24" t="s">
        <v>218</v>
      </c>
      <c r="C28" s="24" t="s">
        <v>219</v>
      </c>
      <c r="D28" s="24" t="s">
        <v>125</v>
      </c>
      <c r="E28" s="24" t="s">
        <v>120</v>
      </c>
      <c r="F28" s="24" t="s">
        <v>220</v>
      </c>
    </row>
    <row r="29">
      <c r="A29" s="24" t="s">
        <v>221</v>
      </c>
      <c r="B29" s="24" t="s">
        <v>222</v>
      </c>
      <c r="C29" s="24" t="s">
        <v>223</v>
      </c>
      <c r="D29" s="24" t="s">
        <v>128</v>
      </c>
      <c r="E29" s="24" t="s">
        <v>120</v>
      </c>
      <c r="F29" s="24" t="s">
        <v>224</v>
      </c>
    </row>
    <row r="30">
      <c r="A30" s="24" t="s">
        <v>225</v>
      </c>
      <c r="B30" s="24" t="s">
        <v>226</v>
      </c>
      <c r="C30" s="24" t="s">
        <v>227</v>
      </c>
      <c r="D30" s="24" t="s">
        <v>128</v>
      </c>
      <c r="E30" s="24" t="s">
        <v>120</v>
      </c>
      <c r="F30" s="24" t="s">
        <v>228</v>
      </c>
    </row>
    <row r="31">
      <c r="A31" s="24" t="s">
        <v>229</v>
      </c>
      <c r="B31" s="24" t="s">
        <v>230</v>
      </c>
      <c r="C31" s="24" t="s">
        <v>231</v>
      </c>
      <c r="D31" s="24" t="s">
        <v>119</v>
      </c>
      <c r="E31" s="24" t="s">
        <v>120</v>
      </c>
      <c r="F31" s="24" t="s">
        <v>232</v>
      </c>
    </row>
    <row r="32">
      <c r="A32" s="24" t="s">
        <v>233</v>
      </c>
      <c r="B32" s="24" t="s">
        <v>234</v>
      </c>
      <c r="C32" s="24" t="s">
        <v>235</v>
      </c>
      <c r="D32" s="24" t="s">
        <v>128</v>
      </c>
      <c r="E32" s="24" t="s">
        <v>120</v>
      </c>
      <c r="F32" s="24" t="s">
        <v>236</v>
      </c>
    </row>
    <row r="33">
      <c r="A33" s="24" t="s">
        <v>237</v>
      </c>
      <c r="B33" s="24" t="s">
        <v>238</v>
      </c>
      <c r="C33" s="24" t="s">
        <v>239</v>
      </c>
      <c r="D33" s="24" t="s">
        <v>128</v>
      </c>
      <c r="E33" s="24" t="s">
        <v>120</v>
      </c>
      <c r="F33" s="24" t="s">
        <v>240</v>
      </c>
    </row>
    <row r="34">
      <c r="A34" s="24" t="s">
        <v>241</v>
      </c>
      <c r="B34" s="24" t="s">
        <v>242</v>
      </c>
      <c r="C34" s="24" t="s">
        <v>243</v>
      </c>
      <c r="D34" s="24" t="s">
        <v>128</v>
      </c>
      <c r="E34" s="24" t="s">
        <v>120</v>
      </c>
      <c r="F34" s="24" t="s">
        <v>244</v>
      </c>
    </row>
    <row r="35">
      <c r="A35" s="24" t="s">
        <v>245</v>
      </c>
      <c r="B35" s="24" t="s">
        <v>246</v>
      </c>
      <c r="C35" s="24" t="s">
        <v>247</v>
      </c>
      <c r="D35" s="24" t="s">
        <v>125</v>
      </c>
      <c r="E35" s="24" t="s">
        <v>120</v>
      </c>
      <c r="F35" s="24" t="s">
        <v>248</v>
      </c>
    </row>
    <row r="36">
      <c r="A36" s="24" t="s">
        <v>106</v>
      </c>
      <c r="B36" s="24" t="s">
        <v>81</v>
      </c>
      <c r="C36" s="24" t="s">
        <v>249</v>
      </c>
      <c r="D36" s="24" t="s">
        <v>128</v>
      </c>
      <c r="E36" s="24" t="s">
        <v>120</v>
      </c>
      <c r="F36" s="24" t="s">
        <v>250</v>
      </c>
    </row>
    <row r="37">
      <c r="A37" s="24" t="s">
        <v>251</v>
      </c>
      <c r="B37" s="24" t="s">
        <v>252</v>
      </c>
      <c r="C37" s="24" t="s">
        <v>253</v>
      </c>
      <c r="D37" s="24" t="s">
        <v>128</v>
      </c>
      <c r="E37" s="24" t="s">
        <v>120</v>
      </c>
      <c r="F37" s="24" t="s">
        <v>254</v>
      </c>
    </row>
    <row r="38">
      <c r="A38" s="24" t="s">
        <v>255</v>
      </c>
      <c r="B38" s="24" t="s">
        <v>256</v>
      </c>
      <c r="C38" s="24" t="s">
        <v>257</v>
      </c>
      <c r="D38" s="24" t="s">
        <v>128</v>
      </c>
      <c r="E38" s="24" t="s">
        <v>120</v>
      </c>
      <c r="F38" s="24" t="s">
        <v>258</v>
      </c>
    </row>
    <row r="39">
      <c r="A39" s="24" t="s">
        <v>95</v>
      </c>
      <c r="B39" s="24" t="s">
        <v>67</v>
      </c>
      <c r="C39" s="24" t="s">
        <v>259</v>
      </c>
      <c r="D39" s="24" t="s">
        <v>128</v>
      </c>
      <c r="E39" s="24" t="s">
        <v>120</v>
      </c>
      <c r="F39" s="24" t="s">
        <v>260</v>
      </c>
    </row>
    <row r="40">
      <c r="A40" s="24" t="s">
        <v>261</v>
      </c>
      <c r="B40" s="24" t="s">
        <v>262</v>
      </c>
      <c r="C40" s="24" t="s">
        <v>263</v>
      </c>
      <c r="D40" s="24" t="s">
        <v>128</v>
      </c>
      <c r="E40" s="24" t="s">
        <v>120</v>
      </c>
      <c r="F40" s="24" t="s">
        <v>264</v>
      </c>
    </row>
    <row r="41">
      <c r="A41" s="24" t="s">
        <v>265</v>
      </c>
      <c r="B41" s="24" t="s">
        <v>266</v>
      </c>
      <c r="C41" s="24" t="s">
        <v>267</v>
      </c>
      <c r="D41" s="24" t="s">
        <v>157</v>
      </c>
      <c r="E41" s="24" t="s">
        <v>120</v>
      </c>
      <c r="F41" s="24" t="s">
        <v>268</v>
      </c>
    </row>
    <row r="42">
      <c r="A42" s="24" t="s">
        <v>269</v>
      </c>
      <c r="B42" s="24" t="s">
        <v>270</v>
      </c>
      <c r="C42" s="24" t="s">
        <v>271</v>
      </c>
      <c r="D42" s="24" t="s">
        <v>128</v>
      </c>
      <c r="E42" s="24" t="s">
        <v>120</v>
      </c>
      <c r="F42" s="24" t="s">
        <v>272</v>
      </c>
    </row>
    <row r="43">
      <c r="A43" s="24" t="s">
        <v>273</v>
      </c>
      <c r="B43" s="24" t="s">
        <v>274</v>
      </c>
      <c r="C43" s="24" t="s">
        <v>275</v>
      </c>
      <c r="D43" s="24" t="s">
        <v>125</v>
      </c>
      <c r="E43" s="24" t="s">
        <v>120</v>
      </c>
      <c r="F43" s="24" t="s">
        <v>276</v>
      </c>
    </row>
    <row r="44">
      <c r="A44" s="24" t="s">
        <v>277</v>
      </c>
      <c r="B44" s="24" t="s">
        <v>278</v>
      </c>
      <c r="C44" s="24" t="s">
        <v>279</v>
      </c>
      <c r="D44" s="24" t="s">
        <v>128</v>
      </c>
      <c r="E44" s="24" t="s">
        <v>120</v>
      </c>
      <c r="F44" s="24" t="s">
        <v>280</v>
      </c>
    </row>
    <row r="45">
      <c r="A45" s="24" t="s">
        <v>281</v>
      </c>
      <c r="B45" s="24" t="s">
        <v>282</v>
      </c>
      <c r="C45" s="24" t="s">
        <v>283</v>
      </c>
      <c r="D45" s="24" t="s">
        <v>128</v>
      </c>
      <c r="E45" s="24" t="s">
        <v>120</v>
      </c>
      <c r="F45" s="24" t="s">
        <v>284</v>
      </c>
    </row>
    <row r="46">
      <c r="A46" s="24" t="s">
        <v>285</v>
      </c>
      <c r="B46" s="24" t="s">
        <v>286</v>
      </c>
      <c r="C46" s="24" t="s">
        <v>287</v>
      </c>
      <c r="D46" s="24" t="s">
        <v>119</v>
      </c>
      <c r="E46" s="24" t="s">
        <v>120</v>
      </c>
      <c r="F46" s="24" t="s">
        <v>288</v>
      </c>
    </row>
    <row r="47">
      <c r="A47" s="24" t="s">
        <v>289</v>
      </c>
      <c r="B47" s="24" t="s">
        <v>290</v>
      </c>
      <c r="C47" s="24" t="s">
        <v>291</v>
      </c>
      <c r="D47" s="24" t="s">
        <v>128</v>
      </c>
      <c r="E47" s="24" t="s">
        <v>120</v>
      </c>
      <c r="F47" s="24" t="s">
        <v>292</v>
      </c>
    </row>
    <row r="48">
      <c r="A48" s="24" t="s">
        <v>293</v>
      </c>
      <c r="B48" s="24" t="s">
        <v>294</v>
      </c>
      <c r="C48" s="24" t="s">
        <v>295</v>
      </c>
      <c r="D48" s="24" t="s">
        <v>128</v>
      </c>
      <c r="E48" s="24" t="s">
        <v>120</v>
      </c>
      <c r="F48" s="24" t="s">
        <v>296</v>
      </c>
    </row>
    <row r="49">
      <c r="A49" s="24" t="s">
        <v>297</v>
      </c>
      <c r="B49" s="24" t="s">
        <v>298</v>
      </c>
      <c r="C49" s="24" t="s">
        <v>299</v>
      </c>
      <c r="D49" s="24" t="s">
        <v>125</v>
      </c>
      <c r="E49" s="24" t="s">
        <v>120</v>
      </c>
      <c r="F49" s="24" t="s">
        <v>300</v>
      </c>
    </row>
    <row r="50">
      <c r="A50" s="24" t="s">
        <v>301</v>
      </c>
      <c r="B50" s="24" t="s">
        <v>302</v>
      </c>
      <c r="C50" s="24" t="s">
        <v>303</v>
      </c>
      <c r="D50" s="24" t="s">
        <v>128</v>
      </c>
      <c r="E50" s="24" t="s">
        <v>120</v>
      </c>
      <c r="F50" s="24" t="s">
        <v>304</v>
      </c>
    </row>
    <row r="51">
      <c r="A51" s="24" t="s">
        <v>305</v>
      </c>
      <c r="B51" s="24" t="s">
        <v>306</v>
      </c>
      <c r="C51" s="24" t="s">
        <v>307</v>
      </c>
      <c r="D51" s="24" t="s">
        <v>128</v>
      </c>
      <c r="E51" s="24" t="s">
        <v>120</v>
      </c>
      <c r="F51" s="24" t="s">
        <v>308</v>
      </c>
    </row>
    <row r="52">
      <c r="A52" s="24" t="s">
        <v>42</v>
      </c>
      <c r="B52" s="24" t="s">
        <v>74</v>
      </c>
      <c r="C52" s="24" t="s">
        <v>309</v>
      </c>
      <c r="D52" s="24" t="s">
        <v>128</v>
      </c>
      <c r="E52" s="24" t="s">
        <v>120</v>
      </c>
      <c r="F52" s="24" t="s">
        <v>310</v>
      </c>
    </row>
    <row r="53">
      <c r="A53" s="24" t="s">
        <v>311</v>
      </c>
      <c r="B53" s="24" t="s">
        <v>312</v>
      </c>
      <c r="C53" s="24" t="s">
        <v>313</v>
      </c>
      <c r="D53" s="24" t="s">
        <v>125</v>
      </c>
      <c r="E53" s="24" t="s">
        <v>120</v>
      </c>
      <c r="F53" s="24" t="s">
        <v>314</v>
      </c>
    </row>
    <row r="54">
      <c r="A54" s="24" t="s">
        <v>315</v>
      </c>
      <c r="B54" s="24" t="s">
        <v>316</v>
      </c>
      <c r="C54" s="24" t="s">
        <v>317</v>
      </c>
      <c r="D54" s="24" t="s">
        <v>128</v>
      </c>
      <c r="E54" s="24" t="s">
        <v>120</v>
      </c>
      <c r="F54" s="24" t="s">
        <v>318</v>
      </c>
    </row>
    <row r="55">
      <c r="A55" s="24" t="s">
        <v>319</v>
      </c>
      <c r="B55" s="24" t="s">
        <v>320</v>
      </c>
      <c r="C55" s="24" t="s">
        <v>321</v>
      </c>
      <c r="D55" s="24" t="s">
        <v>128</v>
      </c>
      <c r="E55" s="24" t="s">
        <v>120</v>
      </c>
      <c r="F55" s="24" t="s">
        <v>322</v>
      </c>
    </row>
    <row r="56">
      <c r="A56" s="24" t="s">
        <v>323</v>
      </c>
      <c r="B56" s="24" t="s">
        <v>324</v>
      </c>
      <c r="C56" s="24" t="s">
        <v>325</v>
      </c>
      <c r="D56" s="24" t="s">
        <v>128</v>
      </c>
      <c r="E56" s="24" t="s">
        <v>120</v>
      </c>
      <c r="F56" s="24" t="s">
        <v>326</v>
      </c>
    </row>
    <row r="57">
      <c r="A57" s="24" t="s">
        <v>327</v>
      </c>
      <c r="B57" s="24" t="s">
        <v>328</v>
      </c>
      <c r="C57" s="24" t="s">
        <v>329</v>
      </c>
      <c r="D57" s="24" t="s">
        <v>119</v>
      </c>
      <c r="E57" s="24" t="s">
        <v>120</v>
      </c>
      <c r="F57" s="24" t="s">
        <v>330</v>
      </c>
    </row>
    <row r="58">
      <c r="A58" s="24" t="s">
        <v>331</v>
      </c>
      <c r="B58" s="24" t="s">
        <v>332</v>
      </c>
      <c r="C58" s="24" t="s">
        <v>333</v>
      </c>
      <c r="D58" s="24" t="s">
        <v>128</v>
      </c>
      <c r="E58" s="24" t="s">
        <v>120</v>
      </c>
      <c r="F58" s="24" t="s">
        <v>334</v>
      </c>
    </row>
    <row r="59">
      <c r="A59" s="24" t="s">
        <v>335</v>
      </c>
      <c r="B59" s="24" t="s">
        <v>336</v>
      </c>
      <c r="C59" s="24" t="s">
        <v>337</v>
      </c>
      <c r="D59" s="24" t="s">
        <v>128</v>
      </c>
      <c r="E59" s="24" t="s">
        <v>120</v>
      </c>
      <c r="F59" s="24" t="s">
        <v>338</v>
      </c>
    </row>
    <row r="60">
      <c r="A60" s="24" t="s">
        <v>339</v>
      </c>
      <c r="B60" s="24" t="s">
        <v>340</v>
      </c>
      <c r="C60" s="24" t="s">
        <v>341</v>
      </c>
      <c r="D60" s="24" t="s">
        <v>128</v>
      </c>
      <c r="E60" s="24" t="s">
        <v>120</v>
      </c>
      <c r="F60" s="24" t="s">
        <v>342</v>
      </c>
    </row>
    <row r="61">
      <c r="A61" s="24" t="s">
        <v>58</v>
      </c>
      <c r="B61" s="24" t="s">
        <v>343</v>
      </c>
      <c r="C61" s="24" t="s">
        <v>344</v>
      </c>
      <c r="D61" s="24" t="s">
        <v>128</v>
      </c>
      <c r="E61" s="24" t="s">
        <v>120</v>
      </c>
      <c r="F61" s="24" t="s">
        <v>345</v>
      </c>
    </row>
    <row r="62">
      <c r="A62" s="24" t="s">
        <v>346</v>
      </c>
      <c r="B62" s="24" t="s">
        <v>347</v>
      </c>
      <c r="C62" s="24" t="s">
        <v>348</v>
      </c>
      <c r="D62" s="24" t="s">
        <v>128</v>
      </c>
      <c r="E62" s="24" t="s">
        <v>120</v>
      </c>
      <c r="F62" s="24" t="s">
        <v>349</v>
      </c>
    </row>
    <row r="63">
      <c r="A63" s="24" t="s">
        <v>350</v>
      </c>
      <c r="B63" s="24" t="s">
        <v>351</v>
      </c>
      <c r="C63" s="24" t="s">
        <v>352</v>
      </c>
      <c r="D63" s="24" t="s">
        <v>128</v>
      </c>
      <c r="E63" s="24" t="s">
        <v>120</v>
      </c>
      <c r="F63" s="24" t="s">
        <v>353</v>
      </c>
    </row>
    <row r="64">
      <c r="A64" s="24" t="s">
        <v>354</v>
      </c>
      <c r="B64" s="24" t="s">
        <v>355</v>
      </c>
      <c r="C64" s="24" t="s">
        <v>356</v>
      </c>
      <c r="D64" s="24" t="s">
        <v>157</v>
      </c>
      <c r="E64" s="24" t="s">
        <v>120</v>
      </c>
      <c r="F64" s="24" t="s">
        <v>357</v>
      </c>
    </row>
    <row r="65">
      <c r="A65" s="24" t="s">
        <v>358</v>
      </c>
      <c r="B65" s="24" t="s">
        <v>359</v>
      </c>
      <c r="C65" s="24" t="s">
        <v>360</v>
      </c>
      <c r="D65" s="24" t="s">
        <v>119</v>
      </c>
      <c r="E65" s="24" t="s">
        <v>120</v>
      </c>
      <c r="F65" s="24" t="s">
        <v>288</v>
      </c>
    </row>
    <row r="66">
      <c r="A66" s="24" t="s">
        <v>361</v>
      </c>
      <c r="B66" s="24" t="s">
        <v>362</v>
      </c>
      <c r="C66" s="24" t="s">
        <v>363</v>
      </c>
      <c r="D66" s="24" t="s">
        <v>128</v>
      </c>
      <c r="E66" s="24" t="s">
        <v>120</v>
      </c>
      <c r="F66" s="24" t="s">
        <v>364</v>
      </c>
    </row>
    <row r="67">
      <c r="A67" s="24" t="s">
        <v>365</v>
      </c>
      <c r="B67" s="24" t="s">
        <v>366</v>
      </c>
      <c r="C67" s="24" t="s">
        <v>367</v>
      </c>
      <c r="D67" s="24" t="s">
        <v>157</v>
      </c>
      <c r="E67" s="24" t="s">
        <v>120</v>
      </c>
      <c r="F67" s="24" t="s">
        <v>368</v>
      </c>
    </row>
    <row r="68">
      <c r="A68" s="24" t="s">
        <v>369</v>
      </c>
      <c r="B68" s="24" t="s">
        <v>370</v>
      </c>
      <c r="C68" s="24" t="s">
        <v>371</v>
      </c>
      <c r="D68" s="24" t="s">
        <v>128</v>
      </c>
      <c r="E68" s="24" t="s">
        <v>120</v>
      </c>
      <c r="F68" s="24" t="s">
        <v>372</v>
      </c>
    </row>
    <row r="69">
      <c r="A69" s="24" t="s">
        <v>373</v>
      </c>
      <c r="B69" s="24" t="s">
        <v>374</v>
      </c>
      <c r="C69" s="24" t="s">
        <v>375</v>
      </c>
      <c r="D69" s="24" t="s">
        <v>128</v>
      </c>
      <c r="E69" s="24" t="s">
        <v>120</v>
      </c>
      <c r="F69" s="24" t="s">
        <v>376</v>
      </c>
    </row>
    <row r="70">
      <c r="A70" s="24" t="s">
        <v>377</v>
      </c>
      <c r="B70" s="24" t="s">
        <v>378</v>
      </c>
      <c r="C70" s="24" t="s">
        <v>379</v>
      </c>
      <c r="D70" s="24" t="s">
        <v>125</v>
      </c>
      <c r="E70" s="24" t="s">
        <v>120</v>
      </c>
      <c r="F70" s="24" t="s">
        <v>380</v>
      </c>
    </row>
    <row r="71">
      <c r="A71" s="24" t="s">
        <v>381</v>
      </c>
      <c r="B71" s="24" t="s">
        <v>382</v>
      </c>
      <c r="C71" s="24" t="s">
        <v>383</v>
      </c>
      <c r="D71" s="24" t="s">
        <v>157</v>
      </c>
      <c r="E71" s="24" t="s">
        <v>120</v>
      </c>
      <c r="F71" s="24" t="s">
        <v>384</v>
      </c>
    </row>
    <row r="72">
      <c r="A72" s="24" t="s">
        <v>385</v>
      </c>
      <c r="B72" s="24" t="s">
        <v>386</v>
      </c>
      <c r="C72" s="24" t="s">
        <v>387</v>
      </c>
      <c r="D72" s="24" t="s">
        <v>119</v>
      </c>
      <c r="E72" s="24" t="s">
        <v>120</v>
      </c>
      <c r="F72" s="24" t="s">
        <v>388</v>
      </c>
    </row>
    <row r="73">
      <c r="A73" s="24" t="s">
        <v>389</v>
      </c>
      <c r="B73" s="24" t="s">
        <v>390</v>
      </c>
      <c r="C73" s="24" t="s">
        <v>391</v>
      </c>
      <c r="D73" s="24" t="s">
        <v>128</v>
      </c>
      <c r="E73" s="24" t="s">
        <v>120</v>
      </c>
      <c r="F73" s="24" t="s">
        <v>392</v>
      </c>
    </row>
    <row r="74">
      <c r="A74" s="24" t="s">
        <v>393</v>
      </c>
      <c r="B74" s="24" t="s">
        <v>394</v>
      </c>
      <c r="C74" s="24" t="s">
        <v>395</v>
      </c>
      <c r="D74" s="24" t="s">
        <v>128</v>
      </c>
      <c r="E74" s="24" t="s">
        <v>120</v>
      </c>
      <c r="F74" s="24" t="s">
        <v>396</v>
      </c>
    </row>
    <row r="75">
      <c r="A75" s="24" t="s">
        <v>397</v>
      </c>
      <c r="B75" s="24" t="s">
        <v>398</v>
      </c>
      <c r="C75" s="24" t="s">
        <v>399</v>
      </c>
      <c r="D75" s="24" t="s">
        <v>128</v>
      </c>
      <c r="E75" s="24" t="s">
        <v>120</v>
      </c>
      <c r="F75" s="24" t="s">
        <v>400</v>
      </c>
    </row>
    <row r="76">
      <c r="A76" s="24" t="s">
        <v>401</v>
      </c>
      <c r="B76" s="24" t="s">
        <v>402</v>
      </c>
      <c r="C76" s="24" t="s">
        <v>403</v>
      </c>
      <c r="D76" s="24" t="s">
        <v>128</v>
      </c>
      <c r="E76" s="24" t="s">
        <v>120</v>
      </c>
      <c r="F76" s="24" t="s">
        <v>404</v>
      </c>
    </row>
    <row r="77">
      <c r="A77" s="24" t="s">
        <v>405</v>
      </c>
      <c r="B77" s="24" t="s">
        <v>406</v>
      </c>
      <c r="C77" s="24" t="s">
        <v>407</v>
      </c>
      <c r="D77" s="24" t="s">
        <v>128</v>
      </c>
      <c r="E77" s="24" t="s">
        <v>120</v>
      </c>
      <c r="F77" s="24" t="s">
        <v>408</v>
      </c>
    </row>
    <row r="78">
      <c r="A78" s="24" t="s">
        <v>409</v>
      </c>
      <c r="B78" s="24" t="s">
        <v>410</v>
      </c>
      <c r="C78" s="24" t="s">
        <v>411</v>
      </c>
      <c r="D78" s="24" t="s">
        <v>128</v>
      </c>
      <c r="E78" s="24" t="s">
        <v>120</v>
      </c>
      <c r="F78" s="24" t="s">
        <v>412</v>
      </c>
    </row>
    <row r="79">
      <c r="A79" s="24" t="s">
        <v>413</v>
      </c>
      <c r="B79" s="24" t="s">
        <v>414</v>
      </c>
      <c r="C79" s="24" t="s">
        <v>415</v>
      </c>
      <c r="D79" s="24" t="s">
        <v>128</v>
      </c>
      <c r="E79" s="24" t="s">
        <v>120</v>
      </c>
      <c r="F79" s="24" t="s">
        <v>416</v>
      </c>
    </row>
    <row r="80">
      <c r="A80" s="24" t="s">
        <v>417</v>
      </c>
      <c r="B80" s="24" t="s">
        <v>418</v>
      </c>
      <c r="C80" s="24" t="s">
        <v>419</v>
      </c>
      <c r="D80" s="24" t="s">
        <v>128</v>
      </c>
      <c r="E80" s="24" t="s">
        <v>120</v>
      </c>
      <c r="F80" s="24" t="s">
        <v>420</v>
      </c>
    </row>
    <row r="81">
      <c r="A81" s="24" t="s">
        <v>421</v>
      </c>
      <c r="B81" s="24" t="s">
        <v>422</v>
      </c>
      <c r="C81" s="24" t="s">
        <v>423</v>
      </c>
      <c r="D81" s="24" t="s">
        <v>128</v>
      </c>
      <c r="E81" s="24" t="s">
        <v>120</v>
      </c>
      <c r="F81" s="24" t="s">
        <v>424</v>
      </c>
    </row>
    <row r="82">
      <c r="A82" s="24" t="s">
        <v>425</v>
      </c>
      <c r="B82" s="24" t="s">
        <v>426</v>
      </c>
      <c r="C82" s="24" t="s">
        <v>427</v>
      </c>
      <c r="D82" s="24" t="s">
        <v>128</v>
      </c>
      <c r="E82" s="24" t="s">
        <v>120</v>
      </c>
      <c r="F82" s="24" t="s">
        <v>428</v>
      </c>
    </row>
    <row r="83">
      <c r="A83" s="24" t="s">
        <v>429</v>
      </c>
      <c r="B83" s="24" t="s">
        <v>430</v>
      </c>
      <c r="C83" s="24" t="s">
        <v>431</v>
      </c>
      <c r="D83" s="24" t="s">
        <v>119</v>
      </c>
      <c r="E83" s="24" t="s">
        <v>120</v>
      </c>
      <c r="F83" s="24" t="s">
        <v>330</v>
      </c>
    </row>
    <row r="84">
      <c r="A84" s="24" t="s">
        <v>432</v>
      </c>
      <c r="B84" s="24" t="s">
        <v>433</v>
      </c>
      <c r="C84" s="24" t="s">
        <v>434</v>
      </c>
      <c r="D84" s="24" t="s">
        <v>128</v>
      </c>
      <c r="E84" s="24" t="s">
        <v>120</v>
      </c>
      <c r="F84" s="24" t="s">
        <v>435</v>
      </c>
    </row>
    <row r="85">
      <c r="A85" s="24" t="s">
        <v>436</v>
      </c>
      <c r="B85" s="24" t="s">
        <v>437</v>
      </c>
      <c r="C85" s="24" t="s">
        <v>438</v>
      </c>
      <c r="D85" s="24" t="s">
        <v>119</v>
      </c>
      <c r="E85" s="24" t="s">
        <v>120</v>
      </c>
      <c r="F85" s="24" t="s">
        <v>439</v>
      </c>
    </row>
    <row r="86">
      <c r="A86" s="24" t="s">
        <v>440</v>
      </c>
      <c r="B86" s="24" t="s">
        <v>441</v>
      </c>
      <c r="C86" s="24" t="s">
        <v>442</v>
      </c>
      <c r="D86" s="24" t="s">
        <v>128</v>
      </c>
      <c r="E86" s="24" t="s">
        <v>120</v>
      </c>
      <c r="F86" s="24" t="s">
        <v>443</v>
      </c>
    </row>
    <row r="87">
      <c r="A87" s="24" t="s">
        <v>444</v>
      </c>
      <c r="B87" s="24" t="s">
        <v>445</v>
      </c>
      <c r="C87" s="24" t="s">
        <v>446</v>
      </c>
      <c r="D87" s="24" t="s">
        <v>128</v>
      </c>
      <c r="E87" s="24" t="s">
        <v>120</v>
      </c>
      <c r="F87" s="24" t="s">
        <v>447</v>
      </c>
    </row>
    <row r="88">
      <c r="A88" s="24" t="s">
        <v>448</v>
      </c>
      <c r="B88" s="24" t="s">
        <v>449</v>
      </c>
      <c r="C88" s="24" t="s">
        <v>450</v>
      </c>
      <c r="D88" s="24" t="s">
        <v>128</v>
      </c>
      <c r="E88" s="24" t="s">
        <v>120</v>
      </c>
      <c r="F88" s="24" t="s">
        <v>451</v>
      </c>
    </row>
    <row r="89">
      <c r="A89" s="24" t="s">
        <v>452</v>
      </c>
      <c r="B89" s="24" t="s">
        <v>453</v>
      </c>
      <c r="C89" s="24" t="s">
        <v>454</v>
      </c>
      <c r="D89" s="24" t="s">
        <v>128</v>
      </c>
      <c r="E89" s="24" t="s">
        <v>120</v>
      </c>
      <c r="F89" s="24" t="s">
        <v>455</v>
      </c>
    </row>
    <row r="90">
      <c r="A90" s="24" t="s">
        <v>456</v>
      </c>
      <c r="B90" s="24" t="s">
        <v>457</v>
      </c>
      <c r="C90" s="24" t="s">
        <v>458</v>
      </c>
      <c r="D90" s="24" t="s">
        <v>128</v>
      </c>
      <c r="E90" s="24" t="s">
        <v>120</v>
      </c>
      <c r="F90" s="24" t="s">
        <v>459</v>
      </c>
    </row>
    <row r="91">
      <c r="A91" s="24" t="s">
        <v>63</v>
      </c>
      <c r="B91" s="24" t="s">
        <v>80</v>
      </c>
      <c r="C91" s="24" t="s">
        <v>460</v>
      </c>
      <c r="D91" s="24" t="s">
        <v>128</v>
      </c>
      <c r="E91" s="24" t="s">
        <v>120</v>
      </c>
      <c r="F91" s="24" t="s">
        <v>461</v>
      </c>
    </row>
    <row r="92">
      <c r="A92" s="24" t="s">
        <v>462</v>
      </c>
      <c r="B92" s="24" t="s">
        <v>463</v>
      </c>
      <c r="C92" s="24" t="s">
        <v>464</v>
      </c>
      <c r="D92" s="24" t="s">
        <v>128</v>
      </c>
      <c r="E92" s="24" t="s">
        <v>120</v>
      </c>
      <c r="F92" s="24" t="s">
        <v>465</v>
      </c>
    </row>
    <row r="93">
      <c r="A93" s="24" t="s">
        <v>466</v>
      </c>
      <c r="B93" s="24" t="s">
        <v>467</v>
      </c>
      <c r="C93" s="24" t="s">
        <v>468</v>
      </c>
      <c r="D93" s="24" t="s">
        <v>119</v>
      </c>
      <c r="E93" s="24" t="s">
        <v>120</v>
      </c>
      <c r="F93" s="24" t="s">
        <v>388</v>
      </c>
    </row>
    <row r="94">
      <c r="A94" s="24" t="s">
        <v>469</v>
      </c>
      <c r="B94" s="24" t="s">
        <v>470</v>
      </c>
      <c r="C94" s="24" t="s">
        <v>471</v>
      </c>
      <c r="D94" s="24" t="s">
        <v>128</v>
      </c>
      <c r="E94" s="24" t="s">
        <v>120</v>
      </c>
      <c r="F94" s="24" t="s">
        <v>472</v>
      </c>
    </row>
    <row r="95">
      <c r="A95" s="24" t="s">
        <v>473</v>
      </c>
      <c r="B95" s="24" t="s">
        <v>474</v>
      </c>
      <c r="C95" s="24" t="s">
        <v>475</v>
      </c>
      <c r="D95" s="24" t="s">
        <v>128</v>
      </c>
      <c r="E95" s="24" t="s">
        <v>120</v>
      </c>
      <c r="F95" s="24" t="s">
        <v>476</v>
      </c>
    </row>
    <row r="96">
      <c r="A96" s="24" t="s">
        <v>477</v>
      </c>
      <c r="B96" s="24" t="s">
        <v>478</v>
      </c>
      <c r="C96" s="24" t="s">
        <v>479</v>
      </c>
      <c r="D96" s="24" t="s">
        <v>128</v>
      </c>
      <c r="E96" s="24" t="s">
        <v>120</v>
      </c>
      <c r="F96" s="24" t="s">
        <v>480</v>
      </c>
    </row>
    <row r="97">
      <c r="A97" s="24" t="s">
        <v>481</v>
      </c>
      <c r="B97" s="24" t="s">
        <v>482</v>
      </c>
      <c r="C97" s="24" t="s">
        <v>483</v>
      </c>
      <c r="D97" s="24" t="s">
        <v>128</v>
      </c>
      <c r="E97" s="24" t="s">
        <v>120</v>
      </c>
      <c r="F97" s="24" t="s">
        <v>484</v>
      </c>
    </row>
    <row r="98">
      <c r="A98" s="24" t="s">
        <v>485</v>
      </c>
      <c r="B98" s="24" t="s">
        <v>486</v>
      </c>
      <c r="C98" s="24" t="s">
        <v>487</v>
      </c>
      <c r="D98" s="24" t="s">
        <v>128</v>
      </c>
      <c r="E98" s="24" t="s">
        <v>120</v>
      </c>
      <c r="F98" s="24" t="s">
        <v>488</v>
      </c>
    </row>
    <row r="99">
      <c r="A99" s="24" t="s">
        <v>489</v>
      </c>
      <c r="B99" s="24" t="s">
        <v>490</v>
      </c>
      <c r="C99" s="24" t="s">
        <v>491</v>
      </c>
      <c r="D99" s="24" t="s">
        <v>128</v>
      </c>
      <c r="E99" s="24" t="s">
        <v>120</v>
      </c>
      <c r="F99" s="24" t="s">
        <v>492</v>
      </c>
    </row>
    <row r="100">
      <c r="A100" s="24" t="s">
        <v>493</v>
      </c>
      <c r="B100" s="24" t="s">
        <v>494</v>
      </c>
      <c r="C100" s="24" t="s">
        <v>495</v>
      </c>
      <c r="D100" s="24" t="s">
        <v>128</v>
      </c>
      <c r="E100" s="24" t="s">
        <v>120</v>
      </c>
      <c r="F100" s="24" t="s">
        <v>496</v>
      </c>
    </row>
    <row r="101">
      <c r="A101" s="24" t="s">
        <v>38</v>
      </c>
      <c r="B101" s="24" t="s">
        <v>77</v>
      </c>
      <c r="C101" s="24" t="s">
        <v>497</v>
      </c>
      <c r="D101" s="24" t="s">
        <v>128</v>
      </c>
      <c r="E101" s="24" t="s">
        <v>120</v>
      </c>
      <c r="F101" s="24" t="s">
        <v>498</v>
      </c>
    </row>
    <row r="102">
      <c r="A102" s="24" t="s">
        <v>499</v>
      </c>
      <c r="B102" s="24" t="s">
        <v>500</v>
      </c>
      <c r="C102" s="24" t="s">
        <v>501</v>
      </c>
      <c r="D102" s="24" t="s">
        <v>128</v>
      </c>
      <c r="E102" s="24" t="s">
        <v>120</v>
      </c>
      <c r="F102" s="24" t="s">
        <v>502</v>
      </c>
    </row>
    <row r="103">
      <c r="A103" s="24" t="s">
        <v>503</v>
      </c>
      <c r="B103" s="24" t="s">
        <v>504</v>
      </c>
      <c r="C103" s="24" t="s">
        <v>505</v>
      </c>
      <c r="D103" s="24" t="s">
        <v>128</v>
      </c>
      <c r="E103" s="24" t="s">
        <v>120</v>
      </c>
      <c r="F103" s="24" t="s">
        <v>506</v>
      </c>
    </row>
    <row r="104">
      <c r="A104" s="24" t="s">
        <v>507</v>
      </c>
      <c r="B104" s="24" t="s">
        <v>508</v>
      </c>
      <c r="C104" s="24" t="s">
        <v>509</v>
      </c>
      <c r="D104" s="24" t="s">
        <v>119</v>
      </c>
      <c r="E104" s="24" t="s">
        <v>120</v>
      </c>
      <c r="F104" s="24" t="s">
        <v>510</v>
      </c>
    </row>
    <row r="105">
      <c r="A105" s="24" t="s">
        <v>511</v>
      </c>
      <c r="B105" s="24" t="s">
        <v>512</v>
      </c>
      <c r="C105" s="24" t="s">
        <v>513</v>
      </c>
      <c r="D105" s="24" t="s">
        <v>128</v>
      </c>
      <c r="E105" s="24" t="s">
        <v>120</v>
      </c>
      <c r="F105" s="24" t="s">
        <v>514</v>
      </c>
    </row>
    <row r="106">
      <c r="A106" s="24" t="s">
        <v>515</v>
      </c>
      <c r="B106" s="24" t="s">
        <v>516</v>
      </c>
      <c r="C106" s="24" t="s">
        <v>517</v>
      </c>
      <c r="D106" s="24" t="s">
        <v>128</v>
      </c>
      <c r="E106" s="24" t="s">
        <v>120</v>
      </c>
      <c r="F106" s="24" t="s">
        <v>518</v>
      </c>
    </row>
    <row r="107">
      <c r="A107" s="24" t="s">
        <v>519</v>
      </c>
      <c r="B107" s="24" t="s">
        <v>520</v>
      </c>
      <c r="C107" s="24" t="s">
        <v>521</v>
      </c>
      <c r="D107" s="24" t="s">
        <v>128</v>
      </c>
      <c r="E107" s="24" t="s">
        <v>120</v>
      </c>
      <c r="F107" s="24" t="s">
        <v>522</v>
      </c>
    </row>
    <row r="108">
      <c r="A108" s="24" t="s">
        <v>523</v>
      </c>
      <c r="B108" s="24" t="s">
        <v>524</v>
      </c>
      <c r="C108" s="24" t="s">
        <v>525</v>
      </c>
      <c r="D108" s="24" t="s">
        <v>128</v>
      </c>
      <c r="E108" s="24" t="s">
        <v>120</v>
      </c>
      <c r="F108" s="24" t="s">
        <v>526</v>
      </c>
    </row>
    <row r="109">
      <c r="A109" s="24" t="s">
        <v>527</v>
      </c>
      <c r="B109" s="24" t="s">
        <v>528</v>
      </c>
      <c r="C109" s="24" t="s">
        <v>529</v>
      </c>
      <c r="D109" s="24" t="s">
        <v>119</v>
      </c>
      <c r="E109" s="24" t="s">
        <v>120</v>
      </c>
      <c r="F109" s="24" t="s">
        <v>530</v>
      </c>
    </row>
    <row r="110">
      <c r="A110" s="24" t="s">
        <v>531</v>
      </c>
      <c r="B110" s="24" t="s">
        <v>532</v>
      </c>
      <c r="C110" s="24" t="s">
        <v>533</v>
      </c>
      <c r="D110" s="24" t="s">
        <v>125</v>
      </c>
      <c r="E110" s="24" t="s">
        <v>120</v>
      </c>
      <c r="F110" s="24" t="s">
        <v>534</v>
      </c>
    </row>
    <row r="111">
      <c r="A111" s="24" t="s">
        <v>535</v>
      </c>
      <c r="B111" s="24" t="s">
        <v>536</v>
      </c>
      <c r="C111" s="24" t="s">
        <v>537</v>
      </c>
      <c r="D111" s="24" t="s">
        <v>128</v>
      </c>
      <c r="E111" s="24" t="s">
        <v>120</v>
      </c>
      <c r="F111" s="24" t="s">
        <v>538</v>
      </c>
    </row>
    <row r="112">
      <c r="A112" s="24" t="s">
        <v>539</v>
      </c>
      <c r="B112" s="24" t="s">
        <v>540</v>
      </c>
      <c r="C112" s="24" t="s">
        <v>541</v>
      </c>
      <c r="D112" s="24" t="s">
        <v>119</v>
      </c>
      <c r="E112" s="24" t="s">
        <v>120</v>
      </c>
      <c r="F112" s="24" t="s">
        <v>542</v>
      </c>
    </row>
    <row r="113">
      <c r="A113" s="24" t="s">
        <v>543</v>
      </c>
      <c r="B113" s="24" t="s">
        <v>544</v>
      </c>
      <c r="C113" s="24" t="s">
        <v>545</v>
      </c>
      <c r="D113" s="24" t="s">
        <v>128</v>
      </c>
      <c r="E113" s="24" t="s">
        <v>120</v>
      </c>
      <c r="F113" s="24" t="s">
        <v>546</v>
      </c>
    </row>
    <row r="114">
      <c r="A114" s="24" t="s">
        <v>547</v>
      </c>
      <c r="B114" s="24" t="s">
        <v>548</v>
      </c>
      <c r="C114" s="24" t="s">
        <v>549</v>
      </c>
      <c r="D114" s="24" t="s">
        <v>128</v>
      </c>
      <c r="E114" s="24" t="s">
        <v>120</v>
      </c>
      <c r="F114" s="24" t="s">
        <v>550</v>
      </c>
    </row>
    <row r="115">
      <c r="A115" s="24" t="s">
        <v>551</v>
      </c>
      <c r="B115" s="24" t="s">
        <v>552</v>
      </c>
      <c r="C115" s="24" t="s">
        <v>553</v>
      </c>
      <c r="D115" s="24" t="s">
        <v>128</v>
      </c>
      <c r="E115" s="24" t="s">
        <v>120</v>
      </c>
      <c r="F115" s="24" t="s">
        <v>554</v>
      </c>
    </row>
    <row r="116">
      <c r="A116" s="24" t="s">
        <v>555</v>
      </c>
      <c r="B116" s="24" t="s">
        <v>556</v>
      </c>
      <c r="C116" s="24" t="s">
        <v>557</v>
      </c>
      <c r="D116" s="24" t="s">
        <v>128</v>
      </c>
      <c r="E116" s="24" t="s">
        <v>120</v>
      </c>
      <c r="F116" s="24" t="s">
        <v>558</v>
      </c>
    </row>
    <row r="117">
      <c r="A117" s="24" t="s">
        <v>559</v>
      </c>
      <c r="B117" s="24" t="s">
        <v>560</v>
      </c>
      <c r="C117" s="24" t="s">
        <v>561</v>
      </c>
      <c r="D117" s="24" t="s">
        <v>128</v>
      </c>
      <c r="E117" s="24" t="s">
        <v>120</v>
      </c>
      <c r="F117" s="24" t="s">
        <v>562</v>
      </c>
    </row>
    <row r="118">
      <c r="A118" s="24" t="s">
        <v>563</v>
      </c>
      <c r="B118" s="24" t="s">
        <v>564</v>
      </c>
      <c r="C118" s="24" t="s">
        <v>565</v>
      </c>
      <c r="D118" s="24" t="s">
        <v>128</v>
      </c>
      <c r="E118" s="24" t="s">
        <v>120</v>
      </c>
      <c r="F118" s="24" t="s">
        <v>566</v>
      </c>
    </row>
    <row r="119">
      <c r="A119" s="24" t="s">
        <v>567</v>
      </c>
      <c r="B119" s="24" t="s">
        <v>568</v>
      </c>
      <c r="C119" s="24" t="s">
        <v>569</v>
      </c>
      <c r="D119" s="24" t="s">
        <v>570</v>
      </c>
      <c r="E119" s="24" t="s">
        <v>120</v>
      </c>
      <c r="F119" s="24" t="s">
        <v>571</v>
      </c>
    </row>
    <row r="120">
      <c r="A120" s="24" t="s">
        <v>572</v>
      </c>
      <c r="B120" s="24" t="s">
        <v>573</v>
      </c>
      <c r="C120" s="24" t="s">
        <v>574</v>
      </c>
      <c r="D120" s="24" t="s">
        <v>128</v>
      </c>
      <c r="E120" s="24" t="s">
        <v>120</v>
      </c>
      <c r="F120" s="24" t="s">
        <v>575</v>
      </c>
    </row>
    <row r="121">
      <c r="A121" s="24" t="s">
        <v>576</v>
      </c>
      <c r="B121" s="24" t="s">
        <v>577</v>
      </c>
      <c r="C121" s="24" t="s">
        <v>578</v>
      </c>
      <c r="D121" s="24" t="s">
        <v>128</v>
      </c>
      <c r="E121" s="24" t="s">
        <v>120</v>
      </c>
      <c r="F121" s="24" t="s">
        <v>579</v>
      </c>
    </row>
    <row r="122">
      <c r="A122" s="24" t="s">
        <v>580</v>
      </c>
      <c r="B122" s="24" t="s">
        <v>581</v>
      </c>
      <c r="C122" s="24" t="s">
        <v>582</v>
      </c>
      <c r="D122" s="24" t="s">
        <v>128</v>
      </c>
      <c r="E122" s="24" t="s">
        <v>120</v>
      </c>
      <c r="F122" s="24" t="s">
        <v>583</v>
      </c>
    </row>
    <row r="123">
      <c r="A123" s="24" t="s">
        <v>584</v>
      </c>
      <c r="B123" s="24" t="s">
        <v>585</v>
      </c>
      <c r="C123" s="24" t="s">
        <v>586</v>
      </c>
      <c r="D123" s="24" t="s">
        <v>119</v>
      </c>
      <c r="E123" s="24" t="s">
        <v>120</v>
      </c>
      <c r="F123" s="24" t="s">
        <v>435</v>
      </c>
    </row>
    <row r="124">
      <c r="A124" s="24" t="s">
        <v>587</v>
      </c>
      <c r="B124" s="24" t="s">
        <v>588</v>
      </c>
      <c r="C124" s="24" t="s">
        <v>589</v>
      </c>
      <c r="D124" s="24" t="s">
        <v>128</v>
      </c>
      <c r="E124" s="24" t="s">
        <v>120</v>
      </c>
      <c r="F124" s="24" t="s">
        <v>590</v>
      </c>
    </row>
    <row r="125">
      <c r="A125" s="24" t="s">
        <v>591</v>
      </c>
      <c r="B125" s="24" t="s">
        <v>592</v>
      </c>
      <c r="C125" s="24" t="s">
        <v>593</v>
      </c>
      <c r="D125" s="24" t="s">
        <v>128</v>
      </c>
      <c r="E125" s="24" t="s">
        <v>120</v>
      </c>
      <c r="F125" s="24" t="s">
        <v>594</v>
      </c>
    </row>
    <row r="126">
      <c r="A126" s="24" t="s">
        <v>595</v>
      </c>
      <c r="B126" s="24" t="s">
        <v>596</v>
      </c>
      <c r="C126" s="24" t="s">
        <v>597</v>
      </c>
      <c r="D126" s="24" t="s">
        <v>128</v>
      </c>
      <c r="E126" s="24" t="s">
        <v>120</v>
      </c>
      <c r="F126" s="24" t="s">
        <v>598</v>
      </c>
    </row>
    <row r="127">
      <c r="A127" s="24" t="s">
        <v>599</v>
      </c>
      <c r="B127" s="24" t="s">
        <v>600</v>
      </c>
      <c r="C127" s="24" t="s">
        <v>601</v>
      </c>
      <c r="D127" s="24" t="s">
        <v>128</v>
      </c>
      <c r="E127" s="24" t="s">
        <v>120</v>
      </c>
      <c r="F127" s="24" t="s">
        <v>602</v>
      </c>
    </row>
    <row r="128">
      <c r="A128" s="24" t="s">
        <v>603</v>
      </c>
      <c r="B128" s="24" t="s">
        <v>604</v>
      </c>
      <c r="C128" s="24" t="s">
        <v>605</v>
      </c>
      <c r="D128" s="24" t="s">
        <v>128</v>
      </c>
      <c r="E128" s="24" t="s">
        <v>120</v>
      </c>
      <c r="F128" s="24" t="s">
        <v>606</v>
      </c>
    </row>
    <row r="129">
      <c r="A129" s="24" t="s">
        <v>607</v>
      </c>
      <c r="B129" s="24" t="s">
        <v>608</v>
      </c>
      <c r="C129" s="24" t="s">
        <v>609</v>
      </c>
      <c r="D129" s="24" t="s">
        <v>128</v>
      </c>
      <c r="E129" s="24" t="s">
        <v>120</v>
      </c>
      <c r="F129" s="24" t="s">
        <v>610</v>
      </c>
    </row>
    <row r="130">
      <c r="A130" s="24" t="s">
        <v>611</v>
      </c>
      <c r="B130" s="24" t="s">
        <v>612</v>
      </c>
      <c r="C130" s="24" t="s">
        <v>613</v>
      </c>
      <c r="D130" s="24" t="s">
        <v>125</v>
      </c>
      <c r="E130" s="24" t="s">
        <v>120</v>
      </c>
      <c r="F130" s="24" t="s">
        <v>614</v>
      </c>
    </row>
    <row r="131">
      <c r="A131" s="24" t="s">
        <v>615</v>
      </c>
      <c r="B131" s="24" t="s">
        <v>616</v>
      </c>
      <c r="C131" s="24" t="s">
        <v>617</v>
      </c>
      <c r="D131" s="24" t="s">
        <v>128</v>
      </c>
      <c r="E131" s="24" t="s">
        <v>120</v>
      </c>
      <c r="F131" s="24" t="s">
        <v>618</v>
      </c>
    </row>
    <row r="132">
      <c r="A132" s="24" t="s">
        <v>619</v>
      </c>
      <c r="B132" s="24" t="s">
        <v>620</v>
      </c>
      <c r="C132" s="24" t="s">
        <v>621</v>
      </c>
      <c r="D132" s="24" t="s">
        <v>128</v>
      </c>
      <c r="E132" s="24" t="s">
        <v>120</v>
      </c>
      <c r="F132" s="24" t="s">
        <v>622</v>
      </c>
    </row>
    <row r="133">
      <c r="A133" s="24" t="s">
        <v>623</v>
      </c>
      <c r="B133" s="24" t="s">
        <v>624</v>
      </c>
      <c r="C133" s="24" t="s">
        <v>625</v>
      </c>
      <c r="D133" s="24" t="s">
        <v>128</v>
      </c>
      <c r="E133" s="24" t="s">
        <v>120</v>
      </c>
      <c r="F133" s="24" t="s">
        <v>626</v>
      </c>
    </row>
    <row r="134">
      <c r="A134" s="24" t="s">
        <v>627</v>
      </c>
      <c r="B134" s="24" t="s">
        <v>628</v>
      </c>
      <c r="C134" s="24" t="s">
        <v>629</v>
      </c>
      <c r="D134" s="24" t="s">
        <v>128</v>
      </c>
      <c r="E134" s="24" t="s">
        <v>120</v>
      </c>
      <c r="F134" s="24" t="s">
        <v>630</v>
      </c>
    </row>
    <row r="135">
      <c r="A135" s="24" t="s">
        <v>631</v>
      </c>
      <c r="B135" s="24" t="s">
        <v>632</v>
      </c>
      <c r="C135" s="24" t="s">
        <v>633</v>
      </c>
      <c r="D135" s="24" t="s">
        <v>128</v>
      </c>
      <c r="E135" s="24" t="s">
        <v>120</v>
      </c>
      <c r="F135" s="24" t="s">
        <v>634</v>
      </c>
    </row>
    <row r="136">
      <c r="A136" s="24" t="s">
        <v>17</v>
      </c>
      <c r="B136" s="24" t="s">
        <v>66</v>
      </c>
      <c r="C136" s="24" t="s">
        <v>635</v>
      </c>
      <c r="D136" s="24" t="s">
        <v>119</v>
      </c>
      <c r="E136" s="24" t="s">
        <v>120</v>
      </c>
      <c r="F136" s="24" t="s">
        <v>184</v>
      </c>
    </row>
    <row r="137">
      <c r="A137" s="24" t="s">
        <v>636</v>
      </c>
      <c r="B137" s="24" t="s">
        <v>637</v>
      </c>
      <c r="C137" s="24" t="s">
        <v>638</v>
      </c>
      <c r="D137" s="24" t="s">
        <v>128</v>
      </c>
      <c r="E137" s="24" t="s">
        <v>120</v>
      </c>
      <c r="F137" s="24" t="s">
        <v>639</v>
      </c>
    </row>
    <row r="138">
      <c r="A138" s="24" t="s">
        <v>640</v>
      </c>
      <c r="B138" s="24" t="s">
        <v>641</v>
      </c>
      <c r="C138" s="24" t="s">
        <v>642</v>
      </c>
      <c r="D138" s="24" t="s">
        <v>157</v>
      </c>
      <c r="E138" s="24" t="s">
        <v>120</v>
      </c>
      <c r="F138" s="24" t="s">
        <v>643</v>
      </c>
    </row>
    <row r="139">
      <c r="A139" s="24" t="s">
        <v>100</v>
      </c>
      <c r="B139" s="24" t="s">
        <v>68</v>
      </c>
      <c r="C139" s="24" t="s">
        <v>644</v>
      </c>
      <c r="D139" s="24" t="s">
        <v>128</v>
      </c>
      <c r="E139" s="24" t="s">
        <v>120</v>
      </c>
      <c r="F139" s="24" t="s">
        <v>645</v>
      </c>
    </row>
    <row r="140">
      <c r="A140" s="24" t="s">
        <v>646</v>
      </c>
      <c r="B140" s="24" t="s">
        <v>647</v>
      </c>
      <c r="C140" s="24" t="s">
        <v>648</v>
      </c>
      <c r="D140" s="24" t="s">
        <v>128</v>
      </c>
      <c r="E140" s="24" t="s">
        <v>120</v>
      </c>
      <c r="F140" s="24" t="s">
        <v>649</v>
      </c>
    </row>
    <row r="141">
      <c r="A141" s="24" t="s">
        <v>650</v>
      </c>
      <c r="B141" s="24" t="s">
        <v>651</v>
      </c>
      <c r="C141" s="24" t="s">
        <v>652</v>
      </c>
      <c r="D141" s="24" t="s">
        <v>119</v>
      </c>
      <c r="E141" s="24" t="s">
        <v>120</v>
      </c>
      <c r="F141" s="24" t="s">
        <v>653</v>
      </c>
    </row>
    <row r="142">
      <c r="A142" s="24" t="s">
        <v>654</v>
      </c>
      <c r="B142" s="24" t="s">
        <v>655</v>
      </c>
      <c r="C142" s="24" t="s">
        <v>656</v>
      </c>
      <c r="D142" s="24" t="s">
        <v>119</v>
      </c>
      <c r="E142" s="24" t="s">
        <v>120</v>
      </c>
      <c r="F142" s="24" t="s">
        <v>232</v>
      </c>
    </row>
    <row r="143">
      <c r="A143" s="24" t="s">
        <v>657</v>
      </c>
      <c r="B143" s="24" t="s">
        <v>658</v>
      </c>
      <c r="C143" s="24" t="s">
        <v>659</v>
      </c>
      <c r="D143" s="24" t="s">
        <v>128</v>
      </c>
      <c r="E143" s="24" t="s">
        <v>120</v>
      </c>
      <c r="F143" s="24" t="s">
        <v>660</v>
      </c>
    </row>
    <row r="144">
      <c r="A144" s="24" t="s">
        <v>661</v>
      </c>
      <c r="B144" s="24" t="s">
        <v>662</v>
      </c>
      <c r="C144" s="24" t="s">
        <v>663</v>
      </c>
      <c r="D144" s="24" t="s">
        <v>128</v>
      </c>
      <c r="E144" s="24" t="s">
        <v>120</v>
      </c>
      <c r="F144" s="24" t="s">
        <v>664</v>
      </c>
    </row>
    <row r="145">
      <c r="A145" s="24" t="s">
        <v>665</v>
      </c>
      <c r="B145" s="24" t="s">
        <v>666</v>
      </c>
      <c r="C145" s="24" t="s">
        <v>667</v>
      </c>
      <c r="D145" s="24" t="s">
        <v>128</v>
      </c>
      <c r="E145" s="24" t="s">
        <v>120</v>
      </c>
      <c r="F145" s="24" t="s">
        <v>668</v>
      </c>
    </row>
    <row r="146">
      <c r="A146" s="24" t="s">
        <v>669</v>
      </c>
      <c r="B146" s="24" t="s">
        <v>670</v>
      </c>
      <c r="C146" s="24" t="s">
        <v>671</v>
      </c>
      <c r="D146" s="24" t="s">
        <v>128</v>
      </c>
      <c r="E146" s="24" t="s">
        <v>120</v>
      </c>
      <c r="F146" s="24" t="s">
        <v>672</v>
      </c>
    </row>
    <row r="147">
      <c r="A147" s="24" t="s">
        <v>673</v>
      </c>
      <c r="B147" s="24" t="s">
        <v>674</v>
      </c>
      <c r="C147" s="24" t="s">
        <v>675</v>
      </c>
      <c r="D147" s="24" t="s">
        <v>128</v>
      </c>
      <c r="E147" s="24" t="s">
        <v>120</v>
      </c>
      <c r="F147" s="24" t="s">
        <v>676</v>
      </c>
    </row>
    <row r="148">
      <c r="A148" s="24" t="s">
        <v>677</v>
      </c>
      <c r="B148" s="24" t="s">
        <v>678</v>
      </c>
      <c r="C148" s="24" t="s">
        <v>679</v>
      </c>
      <c r="D148" s="24" t="s">
        <v>128</v>
      </c>
      <c r="E148" s="24" t="s">
        <v>120</v>
      </c>
      <c r="F148" s="24" t="s">
        <v>680</v>
      </c>
    </row>
    <row r="149">
      <c r="A149" s="24" t="s">
        <v>681</v>
      </c>
      <c r="B149" s="24" t="s">
        <v>682</v>
      </c>
      <c r="C149" s="24" t="s">
        <v>683</v>
      </c>
      <c r="D149" s="24" t="s">
        <v>128</v>
      </c>
      <c r="E149" s="24" t="s">
        <v>120</v>
      </c>
      <c r="F149" s="24" t="s">
        <v>684</v>
      </c>
    </row>
    <row r="150">
      <c r="A150" s="24" t="s">
        <v>685</v>
      </c>
      <c r="B150" s="24" t="s">
        <v>686</v>
      </c>
      <c r="C150" s="24" t="s">
        <v>687</v>
      </c>
      <c r="D150" s="24" t="s">
        <v>128</v>
      </c>
      <c r="E150" s="24" t="s">
        <v>120</v>
      </c>
      <c r="F150" s="24" t="s">
        <v>688</v>
      </c>
    </row>
    <row r="151">
      <c r="A151" s="24" t="s">
        <v>689</v>
      </c>
      <c r="B151" s="24" t="s">
        <v>690</v>
      </c>
      <c r="C151" s="24" t="s">
        <v>691</v>
      </c>
      <c r="D151" s="24" t="s">
        <v>128</v>
      </c>
      <c r="E151" s="24" t="s">
        <v>120</v>
      </c>
      <c r="F151" s="24" t="s">
        <v>692</v>
      </c>
    </row>
    <row r="152">
      <c r="A152" s="24" t="s">
        <v>113</v>
      </c>
      <c r="B152" s="24" t="s">
        <v>83</v>
      </c>
      <c r="C152" s="24" t="s">
        <v>693</v>
      </c>
      <c r="D152" s="24" t="s">
        <v>128</v>
      </c>
      <c r="E152" s="24" t="s">
        <v>120</v>
      </c>
      <c r="F152" s="24" t="s">
        <v>694</v>
      </c>
    </row>
    <row r="153">
      <c r="A153" s="24" t="s">
        <v>695</v>
      </c>
      <c r="B153" s="24" t="s">
        <v>696</v>
      </c>
      <c r="C153" s="24" t="s">
        <v>697</v>
      </c>
      <c r="D153" s="24" t="s">
        <v>128</v>
      </c>
      <c r="E153" s="24" t="s">
        <v>120</v>
      </c>
      <c r="F153" s="24" t="s">
        <v>698</v>
      </c>
    </row>
    <row r="154">
      <c r="A154" s="24" t="s">
        <v>699</v>
      </c>
      <c r="B154" s="24" t="s">
        <v>700</v>
      </c>
      <c r="C154" s="24" t="s">
        <v>701</v>
      </c>
      <c r="D154" s="24" t="s">
        <v>119</v>
      </c>
      <c r="E154" s="24" t="s">
        <v>120</v>
      </c>
      <c r="F154" s="24" t="s">
        <v>702</v>
      </c>
    </row>
    <row r="155">
      <c r="A155" s="24" t="s">
        <v>703</v>
      </c>
      <c r="B155" s="24" t="s">
        <v>704</v>
      </c>
      <c r="C155" s="24" t="s">
        <v>705</v>
      </c>
      <c r="D155" s="24" t="s">
        <v>128</v>
      </c>
      <c r="E155" s="24" t="s">
        <v>120</v>
      </c>
      <c r="F155" s="24" t="s">
        <v>706</v>
      </c>
    </row>
    <row r="156">
      <c r="A156" s="24" t="s">
        <v>707</v>
      </c>
      <c r="B156" s="24" t="s">
        <v>708</v>
      </c>
      <c r="C156" s="24" t="s">
        <v>709</v>
      </c>
      <c r="D156" s="24" t="s">
        <v>128</v>
      </c>
      <c r="E156" s="24" t="s">
        <v>120</v>
      </c>
      <c r="F156" s="24" t="s">
        <v>710</v>
      </c>
    </row>
    <row r="157">
      <c r="A157" s="24" t="s">
        <v>711</v>
      </c>
      <c r="B157" s="24" t="s">
        <v>712</v>
      </c>
      <c r="C157" s="24" t="s">
        <v>713</v>
      </c>
      <c r="D157" s="24" t="s">
        <v>128</v>
      </c>
      <c r="E157" s="24" t="s">
        <v>120</v>
      </c>
      <c r="F157" s="24" t="s">
        <v>714</v>
      </c>
    </row>
    <row r="158">
      <c r="A158" s="24" t="s">
        <v>715</v>
      </c>
      <c r="B158" s="24" t="s">
        <v>716</v>
      </c>
      <c r="C158" s="24" t="s">
        <v>717</v>
      </c>
      <c r="D158" s="24" t="s">
        <v>718</v>
      </c>
      <c r="E158" s="24" t="s">
        <v>719</v>
      </c>
      <c r="F158" s="24" t="s">
        <v>720</v>
      </c>
    </row>
    <row r="159">
      <c r="A159" s="24" t="s">
        <v>721</v>
      </c>
      <c r="B159" s="24" t="s">
        <v>722</v>
      </c>
      <c r="C159" s="24" t="s">
        <v>723</v>
      </c>
      <c r="D159" s="24" t="s">
        <v>718</v>
      </c>
      <c r="E159" s="24" t="s">
        <v>719</v>
      </c>
      <c r="F159" s="24" t="s">
        <v>720</v>
      </c>
    </row>
    <row r="160">
      <c r="A160" s="24" t="s">
        <v>724</v>
      </c>
      <c r="B160" s="24" t="s">
        <v>725</v>
      </c>
      <c r="C160" s="24" t="s">
        <v>726</v>
      </c>
      <c r="D160" s="24" t="s">
        <v>727</v>
      </c>
      <c r="E160" s="24" t="s">
        <v>719</v>
      </c>
      <c r="F160" s="24" t="s">
        <v>720</v>
      </c>
    </row>
    <row r="161">
      <c r="A161" s="24" t="s">
        <v>728</v>
      </c>
      <c r="B161" s="24" t="s">
        <v>729</v>
      </c>
      <c r="C161" s="24" t="s">
        <v>730</v>
      </c>
      <c r="D161" s="24" t="s">
        <v>718</v>
      </c>
      <c r="E161" s="24" t="s">
        <v>719</v>
      </c>
      <c r="F161" s="24" t="s">
        <v>720</v>
      </c>
    </row>
    <row r="162">
      <c r="A162" s="24" t="s">
        <v>731</v>
      </c>
      <c r="B162" s="24" t="s">
        <v>732</v>
      </c>
      <c r="C162" s="24" t="s">
        <v>733</v>
      </c>
      <c r="D162" s="24" t="s">
        <v>718</v>
      </c>
      <c r="E162" s="24" t="s">
        <v>719</v>
      </c>
      <c r="F162" s="24" t="s">
        <v>720</v>
      </c>
    </row>
    <row r="163">
      <c r="A163" s="24" t="s">
        <v>734</v>
      </c>
      <c r="B163" s="24" t="s">
        <v>735</v>
      </c>
      <c r="C163" s="24" t="s">
        <v>736</v>
      </c>
      <c r="D163" s="24" t="s">
        <v>718</v>
      </c>
      <c r="E163" s="24" t="s">
        <v>719</v>
      </c>
      <c r="F163" s="24" t="s">
        <v>720</v>
      </c>
    </row>
    <row r="164">
      <c r="A164" s="24" t="s">
        <v>737</v>
      </c>
      <c r="B164" s="24" t="s">
        <v>738</v>
      </c>
      <c r="C164" s="24" t="s">
        <v>739</v>
      </c>
      <c r="D164" s="24" t="s">
        <v>718</v>
      </c>
      <c r="E164" s="24" t="s">
        <v>719</v>
      </c>
      <c r="F164" s="24" t="s">
        <v>720</v>
      </c>
    </row>
    <row r="165">
      <c r="A165" s="24" t="s">
        <v>740</v>
      </c>
      <c r="B165" s="24" t="s">
        <v>741</v>
      </c>
      <c r="C165" s="24" t="s">
        <v>742</v>
      </c>
      <c r="D165" s="24" t="s">
        <v>718</v>
      </c>
      <c r="E165" s="24" t="s">
        <v>719</v>
      </c>
      <c r="F165" s="24" t="s">
        <v>720</v>
      </c>
    </row>
    <row r="166">
      <c r="A166" s="24" t="s">
        <v>743</v>
      </c>
      <c r="B166" s="24" t="s">
        <v>744</v>
      </c>
      <c r="C166" s="24" t="s">
        <v>745</v>
      </c>
      <c r="D166" s="24" t="s">
        <v>718</v>
      </c>
      <c r="E166" s="24" t="s">
        <v>719</v>
      </c>
      <c r="F166" s="24" t="s">
        <v>720</v>
      </c>
    </row>
    <row r="167">
      <c r="A167" s="24" t="s">
        <v>746</v>
      </c>
      <c r="B167" s="24" t="s">
        <v>747</v>
      </c>
      <c r="C167" s="24" t="s">
        <v>748</v>
      </c>
      <c r="D167" s="24" t="s">
        <v>718</v>
      </c>
      <c r="E167" s="24" t="s">
        <v>719</v>
      </c>
      <c r="F167" s="24" t="s">
        <v>720</v>
      </c>
    </row>
    <row r="168">
      <c r="A168" s="24" t="s">
        <v>749</v>
      </c>
      <c r="B168" s="24" t="s">
        <v>750</v>
      </c>
      <c r="C168" s="24" t="s">
        <v>751</v>
      </c>
      <c r="D168" s="24" t="s">
        <v>718</v>
      </c>
      <c r="E168" s="24" t="s">
        <v>719</v>
      </c>
      <c r="F168" s="24" t="s">
        <v>720</v>
      </c>
    </row>
    <row r="169">
      <c r="A169" s="24" t="s">
        <v>102</v>
      </c>
      <c r="B169" s="24" t="s">
        <v>69</v>
      </c>
      <c r="C169" s="24" t="s">
        <v>752</v>
      </c>
      <c r="D169" s="24" t="s">
        <v>718</v>
      </c>
      <c r="E169" s="24" t="s">
        <v>719</v>
      </c>
      <c r="F169" s="24" t="s">
        <v>720</v>
      </c>
    </row>
    <row r="170">
      <c r="A170" s="24" t="s">
        <v>88</v>
      </c>
      <c r="B170" s="24" t="s">
        <v>75</v>
      </c>
      <c r="C170" s="24" t="s">
        <v>753</v>
      </c>
      <c r="D170" s="24" t="s">
        <v>718</v>
      </c>
      <c r="E170" s="24" t="s">
        <v>719</v>
      </c>
      <c r="F170" s="24" t="s">
        <v>720</v>
      </c>
    </row>
    <row r="171">
      <c r="A171" s="24" t="s">
        <v>754</v>
      </c>
      <c r="B171" s="24" t="s">
        <v>755</v>
      </c>
      <c r="C171" s="24" t="s">
        <v>756</v>
      </c>
      <c r="D171" s="24" t="s">
        <v>718</v>
      </c>
      <c r="E171" s="24" t="s">
        <v>719</v>
      </c>
      <c r="F171" s="24" t="s">
        <v>720</v>
      </c>
    </row>
    <row r="172">
      <c r="A172" s="24" t="s">
        <v>757</v>
      </c>
      <c r="B172" s="24" t="s">
        <v>758</v>
      </c>
      <c r="C172" s="24" t="s">
        <v>759</v>
      </c>
      <c r="D172" s="24" t="s">
        <v>718</v>
      </c>
      <c r="E172" s="24" t="s">
        <v>719</v>
      </c>
      <c r="F172" s="24" t="s">
        <v>720</v>
      </c>
    </row>
    <row r="173">
      <c r="A173" s="24" t="s">
        <v>760</v>
      </c>
      <c r="B173" s="24" t="s">
        <v>761</v>
      </c>
      <c r="C173" s="24" t="s">
        <v>762</v>
      </c>
      <c r="D173" s="24" t="s">
        <v>718</v>
      </c>
      <c r="E173" s="24" t="s">
        <v>719</v>
      </c>
      <c r="F173" s="24" t="s">
        <v>720</v>
      </c>
    </row>
    <row r="174">
      <c r="A174" s="24" t="s">
        <v>763</v>
      </c>
      <c r="B174" s="24" t="s">
        <v>764</v>
      </c>
      <c r="C174" s="24" t="s">
        <v>765</v>
      </c>
      <c r="D174" s="24" t="s">
        <v>718</v>
      </c>
      <c r="E174" s="24" t="s">
        <v>719</v>
      </c>
      <c r="F174" s="24" t="s">
        <v>720</v>
      </c>
    </row>
    <row r="175">
      <c r="A175" s="24" t="s">
        <v>766</v>
      </c>
      <c r="B175" s="24" t="s">
        <v>767</v>
      </c>
      <c r="C175" s="24" t="s">
        <v>768</v>
      </c>
      <c r="D175" s="24" t="s">
        <v>718</v>
      </c>
      <c r="E175" s="24" t="s">
        <v>719</v>
      </c>
      <c r="F175" s="24" t="s">
        <v>720</v>
      </c>
    </row>
    <row r="176">
      <c r="A176" s="24" t="s">
        <v>769</v>
      </c>
      <c r="B176" s="24" t="s">
        <v>770</v>
      </c>
      <c r="C176" s="24" t="s">
        <v>771</v>
      </c>
      <c r="D176" s="24" t="s">
        <v>718</v>
      </c>
      <c r="E176" s="24" t="s">
        <v>719</v>
      </c>
      <c r="F176" s="24" t="s">
        <v>720</v>
      </c>
    </row>
    <row r="177">
      <c r="A177" s="24" t="s">
        <v>772</v>
      </c>
      <c r="B177" s="24" t="s">
        <v>773</v>
      </c>
      <c r="C177" s="24" t="s">
        <v>774</v>
      </c>
      <c r="D177" s="24" t="s">
        <v>718</v>
      </c>
      <c r="E177" s="24" t="s">
        <v>719</v>
      </c>
      <c r="F177" s="24" t="s">
        <v>720</v>
      </c>
    </row>
    <row r="178">
      <c r="A178" s="24" t="s">
        <v>90</v>
      </c>
      <c r="B178" s="24" t="s">
        <v>40</v>
      </c>
      <c r="C178" s="24" t="s">
        <v>775</v>
      </c>
      <c r="D178" s="24" t="s">
        <v>718</v>
      </c>
      <c r="E178" s="24" t="s">
        <v>719</v>
      </c>
      <c r="F178" s="24" t="s">
        <v>720</v>
      </c>
    </row>
    <row r="179">
      <c r="A179" s="24" t="s">
        <v>776</v>
      </c>
      <c r="B179" s="24" t="s">
        <v>777</v>
      </c>
      <c r="C179" s="24" t="s">
        <v>778</v>
      </c>
      <c r="D179" s="24" t="s">
        <v>718</v>
      </c>
      <c r="E179" s="24" t="s">
        <v>719</v>
      </c>
      <c r="F179" s="24" t="s">
        <v>720</v>
      </c>
    </row>
    <row r="180">
      <c r="A180" s="24" t="s">
        <v>779</v>
      </c>
      <c r="B180" s="24" t="s">
        <v>780</v>
      </c>
      <c r="C180" s="24" t="s">
        <v>781</v>
      </c>
      <c r="D180" s="24" t="s">
        <v>718</v>
      </c>
      <c r="E180" s="24" t="s">
        <v>719</v>
      </c>
      <c r="F180" s="24" t="s">
        <v>720</v>
      </c>
    </row>
    <row r="181">
      <c r="A181" s="24" t="s">
        <v>782</v>
      </c>
      <c r="B181" s="24" t="s">
        <v>783</v>
      </c>
      <c r="C181" s="24" t="s">
        <v>784</v>
      </c>
      <c r="D181" s="24" t="s">
        <v>718</v>
      </c>
      <c r="E181" s="24" t="s">
        <v>719</v>
      </c>
      <c r="F181" s="24" t="s">
        <v>720</v>
      </c>
    </row>
    <row r="182">
      <c r="A182" s="24" t="s">
        <v>785</v>
      </c>
      <c r="B182" s="24" t="s">
        <v>786</v>
      </c>
      <c r="C182" s="24" t="s">
        <v>787</v>
      </c>
      <c r="D182" s="24" t="s">
        <v>718</v>
      </c>
      <c r="E182" s="24" t="s">
        <v>719</v>
      </c>
      <c r="F182" s="24" t="s">
        <v>720</v>
      </c>
    </row>
    <row r="183">
      <c r="A183" s="24" t="s">
        <v>788</v>
      </c>
      <c r="B183" s="24" t="s">
        <v>789</v>
      </c>
      <c r="C183" s="24" t="s">
        <v>790</v>
      </c>
      <c r="D183" s="24" t="s">
        <v>718</v>
      </c>
      <c r="E183" s="24" t="s">
        <v>719</v>
      </c>
      <c r="F183" s="24" t="s">
        <v>720</v>
      </c>
    </row>
    <row r="184">
      <c r="A184" s="24" t="s">
        <v>791</v>
      </c>
      <c r="B184" s="24" t="s">
        <v>792</v>
      </c>
      <c r="C184" s="24" t="s">
        <v>793</v>
      </c>
      <c r="D184" s="24" t="s">
        <v>718</v>
      </c>
      <c r="E184" s="24" t="s">
        <v>719</v>
      </c>
      <c r="F184" s="24" t="s">
        <v>720</v>
      </c>
    </row>
    <row r="185">
      <c r="A185" s="24" t="s">
        <v>103</v>
      </c>
      <c r="B185" s="24" t="s">
        <v>71</v>
      </c>
      <c r="C185" s="24" t="s">
        <v>794</v>
      </c>
      <c r="D185" s="24" t="s">
        <v>718</v>
      </c>
      <c r="E185" s="24" t="s">
        <v>719</v>
      </c>
      <c r="F185" s="24" t="s">
        <v>720</v>
      </c>
    </row>
    <row r="186">
      <c r="A186" s="24" t="s">
        <v>795</v>
      </c>
      <c r="B186" s="24" t="s">
        <v>796</v>
      </c>
      <c r="C186" s="24" t="s">
        <v>797</v>
      </c>
      <c r="D186" s="24" t="s">
        <v>718</v>
      </c>
      <c r="E186" s="24" t="s">
        <v>719</v>
      </c>
      <c r="F186" s="24" t="s">
        <v>720</v>
      </c>
    </row>
    <row r="187">
      <c r="A187" s="24" t="s">
        <v>798</v>
      </c>
      <c r="B187" s="24" t="s">
        <v>799</v>
      </c>
      <c r="C187" s="24" t="s">
        <v>800</v>
      </c>
      <c r="D187" s="24" t="s">
        <v>718</v>
      </c>
      <c r="E187" s="24" t="s">
        <v>719</v>
      </c>
      <c r="F187" s="24" t="s">
        <v>720</v>
      </c>
    </row>
    <row r="188">
      <c r="A188" s="24" t="s">
        <v>801</v>
      </c>
      <c r="B188" s="24" t="s">
        <v>802</v>
      </c>
      <c r="C188" s="24" t="s">
        <v>803</v>
      </c>
      <c r="D188" s="24" t="s">
        <v>718</v>
      </c>
      <c r="E188" s="24" t="s">
        <v>719</v>
      </c>
      <c r="F188" s="24" t="s">
        <v>720</v>
      </c>
    </row>
    <row r="189">
      <c r="A189" s="24" t="s">
        <v>98</v>
      </c>
      <c r="B189" s="24" t="s">
        <v>78</v>
      </c>
      <c r="C189" s="24" t="s">
        <v>804</v>
      </c>
      <c r="D189" s="24" t="s">
        <v>718</v>
      </c>
      <c r="E189" s="24" t="s">
        <v>719</v>
      </c>
      <c r="F189" s="24" t="s">
        <v>720</v>
      </c>
    </row>
    <row r="190">
      <c r="A190" s="24" t="s">
        <v>805</v>
      </c>
      <c r="B190" s="24" t="s">
        <v>806</v>
      </c>
      <c r="C190" s="24" t="s">
        <v>807</v>
      </c>
      <c r="D190" s="24" t="s">
        <v>718</v>
      </c>
      <c r="E190" s="24" t="s">
        <v>719</v>
      </c>
      <c r="F190" s="24" t="s">
        <v>720</v>
      </c>
    </row>
    <row r="191">
      <c r="A191" s="24" t="s">
        <v>108</v>
      </c>
      <c r="B191" s="24" t="s">
        <v>82</v>
      </c>
      <c r="C191" s="24" t="s">
        <v>808</v>
      </c>
      <c r="D191" s="24" t="s">
        <v>718</v>
      </c>
      <c r="E191" s="24" t="s">
        <v>719</v>
      </c>
      <c r="F191" s="24" t="s">
        <v>720</v>
      </c>
    </row>
    <row r="192">
      <c r="A192" s="24" t="s">
        <v>809</v>
      </c>
      <c r="B192" s="24" t="s">
        <v>810</v>
      </c>
      <c r="C192" s="24" t="s">
        <v>811</v>
      </c>
      <c r="D192" s="24" t="s">
        <v>718</v>
      </c>
      <c r="E192" s="24" t="s">
        <v>719</v>
      </c>
      <c r="F192" s="24" t="s">
        <v>720</v>
      </c>
    </row>
    <row r="193">
      <c r="A193" s="24" t="s">
        <v>812</v>
      </c>
      <c r="B193" s="24" t="s">
        <v>813</v>
      </c>
      <c r="C193" s="24" t="s">
        <v>814</v>
      </c>
      <c r="D193" s="24" t="s">
        <v>718</v>
      </c>
      <c r="E193" s="24" t="s">
        <v>719</v>
      </c>
      <c r="F193" s="24" t="s">
        <v>720</v>
      </c>
    </row>
    <row r="194">
      <c r="A194" s="24" t="s">
        <v>815</v>
      </c>
      <c r="B194" s="24" t="s">
        <v>816</v>
      </c>
      <c r="C194" s="24" t="s">
        <v>817</v>
      </c>
      <c r="D194" s="24" t="s">
        <v>718</v>
      </c>
      <c r="E194" s="24" t="s">
        <v>719</v>
      </c>
      <c r="F194" s="24" t="s">
        <v>720</v>
      </c>
    </row>
    <row r="195">
      <c r="A195" s="24" t="s">
        <v>818</v>
      </c>
      <c r="B195" s="24" t="s">
        <v>819</v>
      </c>
      <c r="C195" s="24" t="s">
        <v>820</v>
      </c>
      <c r="D195" s="24" t="s">
        <v>718</v>
      </c>
      <c r="E195" s="24" t="s">
        <v>719</v>
      </c>
      <c r="F195" s="24" t="s">
        <v>720</v>
      </c>
    </row>
    <row r="196">
      <c r="A196" s="24" t="s">
        <v>821</v>
      </c>
      <c r="B196" s="24" t="s">
        <v>822</v>
      </c>
      <c r="C196" s="24" t="s">
        <v>823</v>
      </c>
      <c r="D196" s="24" t="s">
        <v>718</v>
      </c>
      <c r="E196" s="24" t="s">
        <v>719</v>
      </c>
      <c r="F196" s="24" t="s">
        <v>720</v>
      </c>
    </row>
    <row r="197">
      <c r="A197" s="24" t="s">
        <v>824</v>
      </c>
      <c r="B197" s="24" t="s">
        <v>825</v>
      </c>
      <c r="C197" s="24" t="s">
        <v>826</v>
      </c>
      <c r="D197" s="24" t="s">
        <v>718</v>
      </c>
      <c r="E197" s="24" t="s">
        <v>719</v>
      </c>
      <c r="F197" s="24" t="s">
        <v>720</v>
      </c>
    </row>
    <row r="198">
      <c r="A198" s="24" t="s">
        <v>91</v>
      </c>
      <c r="B198" s="24" t="s">
        <v>76</v>
      </c>
      <c r="C198" s="24" t="s">
        <v>827</v>
      </c>
      <c r="D198" s="24" t="s">
        <v>718</v>
      </c>
      <c r="E198" s="24" t="s">
        <v>719</v>
      </c>
      <c r="F198" s="24" t="s">
        <v>720</v>
      </c>
    </row>
    <row r="199">
      <c r="A199" s="24" t="s">
        <v>828</v>
      </c>
      <c r="B199" s="24" t="s">
        <v>829</v>
      </c>
      <c r="C199" s="24" t="s">
        <v>830</v>
      </c>
      <c r="D199" s="24" t="s">
        <v>718</v>
      </c>
      <c r="E199" s="24" t="s">
        <v>719</v>
      </c>
      <c r="F199" s="24" t="s">
        <v>720</v>
      </c>
    </row>
    <row r="200">
      <c r="A200" s="24" t="s">
        <v>831</v>
      </c>
      <c r="B200" s="24" t="s">
        <v>832</v>
      </c>
      <c r="C200" s="24" t="s">
        <v>833</v>
      </c>
      <c r="D200" s="24" t="s">
        <v>718</v>
      </c>
      <c r="E200" s="24" t="s">
        <v>719</v>
      </c>
      <c r="F200" s="24" t="s">
        <v>720</v>
      </c>
    </row>
    <row r="201">
      <c r="A201" s="24" t="s">
        <v>834</v>
      </c>
      <c r="B201" s="24" t="s">
        <v>835</v>
      </c>
      <c r="C201" s="24" t="s">
        <v>836</v>
      </c>
      <c r="D201" s="24" t="s">
        <v>718</v>
      </c>
      <c r="E201" s="24" t="s">
        <v>719</v>
      </c>
      <c r="F201" s="24" t="s">
        <v>720</v>
      </c>
    </row>
    <row r="202">
      <c r="A202" s="24" t="s">
        <v>837</v>
      </c>
      <c r="B202" s="24" t="s">
        <v>838</v>
      </c>
      <c r="C202" s="24" t="s">
        <v>839</v>
      </c>
      <c r="D202" s="24" t="s">
        <v>718</v>
      </c>
      <c r="E202" s="24" t="s">
        <v>719</v>
      </c>
      <c r="F202" s="24" t="s">
        <v>720</v>
      </c>
    </row>
    <row r="203">
      <c r="A203" s="24" t="s">
        <v>840</v>
      </c>
      <c r="B203" s="24" t="s">
        <v>841</v>
      </c>
      <c r="C203" s="24" t="s">
        <v>842</v>
      </c>
      <c r="D203" s="24" t="s">
        <v>718</v>
      </c>
      <c r="E203" s="24" t="s">
        <v>719</v>
      </c>
      <c r="F203" s="24" t="s">
        <v>720</v>
      </c>
    </row>
    <row r="204">
      <c r="A204" s="24" t="s">
        <v>843</v>
      </c>
      <c r="B204" s="24" t="s">
        <v>844</v>
      </c>
      <c r="C204" s="24" t="s">
        <v>845</v>
      </c>
      <c r="D204" s="24" t="s">
        <v>718</v>
      </c>
      <c r="E204" s="24" t="s">
        <v>719</v>
      </c>
      <c r="F204" s="24" t="s">
        <v>720</v>
      </c>
    </row>
    <row r="205">
      <c r="A205" s="24" t="s">
        <v>846</v>
      </c>
      <c r="B205" s="24" t="s">
        <v>847</v>
      </c>
      <c r="C205" s="24" t="s">
        <v>848</v>
      </c>
      <c r="D205" s="24" t="s">
        <v>718</v>
      </c>
      <c r="E205" s="24" t="s">
        <v>719</v>
      </c>
      <c r="F205" s="24" t="s">
        <v>720</v>
      </c>
    </row>
    <row r="206">
      <c r="A206" s="24" t="s">
        <v>849</v>
      </c>
      <c r="B206" s="24" t="s">
        <v>850</v>
      </c>
      <c r="C206" s="24" t="s">
        <v>851</v>
      </c>
      <c r="D206" s="24" t="s">
        <v>718</v>
      </c>
      <c r="E206" s="24" t="s">
        <v>719</v>
      </c>
      <c r="F206" s="24" t="s">
        <v>720</v>
      </c>
    </row>
    <row r="207">
      <c r="A207" s="24" t="s">
        <v>852</v>
      </c>
      <c r="B207" s="24" t="s">
        <v>853</v>
      </c>
      <c r="C207" s="24" t="s">
        <v>854</v>
      </c>
      <c r="D207" s="24" t="s">
        <v>718</v>
      </c>
      <c r="E207" s="24" t="s">
        <v>719</v>
      </c>
      <c r="F207" s="24" t="s">
        <v>720</v>
      </c>
    </row>
    <row r="208">
      <c r="A208" s="24" t="s">
        <v>855</v>
      </c>
      <c r="B208" s="24" t="s">
        <v>856</v>
      </c>
      <c r="C208" s="24" t="s">
        <v>857</v>
      </c>
      <c r="D208" s="24" t="s">
        <v>718</v>
      </c>
      <c r="E208" s="24" t="s">
        <v>719</v>
      </c>
      <c r="F208" s="24" t="s">
        <v>720</v>
      </c>
    </row>
    <row r="209">
      <c r="A209" s="24" t="s">
        <v>858</v>
      </c>
      <c r="B209" s="24" t="s">
        <v>859</v>
      </c>
      <c r="C209" s="24" t="s">
        <v>860</v>
      </c>
      <c r="D209" s="24" t="s">
        <v>718</v>
      </c>
      <c r="E209" s="24" t="s">
        <v>719</v>
      </c>
      <c r="F209" s="24" t="s">
        <v>720</v>
      </c>
    </row>
    <row r="210">
      <c r="A210" s="24" t="s">
        <v>861</v>
      </c>
      <c r="B210" s="24" t="s">
        <v>862</v>
      </c>
      <c r="C210" s="24" t="s">
        <v>863</v>
      </c>
      <c r="D210" s="24" t="s">
        <v>718</v>
      </c>
      <c r="E210" s="24" t="s">
        <v>719</v>
      </c>
      <c r="F210" s="24" t="s">
        <v>720</v>
      </c>
    </row>
    <row r="211">
      <c r="A211" s="24" t="s">
        <v>864</v>
      </c>
      <c r="B211" s="24" t="s">
        <v>865</v>
      </c>
      <c r="C211" s="24" t="s">
        <v>866</v>
      </c>
      <c r="D211" s="24" t="s">
        <v>718</v>
      </c>
      <c r="E211" s="24" t="s">
        <v>719</v>
      </c>
      <c r="F211" s="24" t="s">
        <v>720</v>
      </c>
    </row>
    <row r="212">
      <c r="A212" s="24" t="s">
        <v>867</v>
      </c>
      <c r="B212" s="24" t="s">
        <v>868</v>
      </c>
      <c r="C212" s="24" t="s">
        <v>869</v>
      </c>
      <c r="D212" s="24" t="s">
        <v>718</v>
      </c>
      <c r="E212" s="24" t="s">
        <v>719</v>
      </c>
      <c r="F212" s="24" t="s">
        <v>720</v>
      </c>
    </row>
    <row r="213">
      <c r="A213" s="24" t="s">
        <v>870</v>
      </c>
      <c r="B213" s="24" t="s">
        <v>871</v>
      </c>
      <c r="C213" s="24" t="s">
        <v>872</v>
      </c>
      <c r="D213" s="24" t="s">
        <v>718</v>
      </c>
      <c r="E213" s="24" t="s">
        <v>719</v>
      </c>
      <c r="F213" s="24" t="s">
        <v>720</v>
      </c>
    </row>
    <row r="214">
      <c r="A214" s="24" t="s">
        <v>873</v>
      </c>
      <c r="B214" s="24" t="s">
        <v>874</v>
      </c>
      <c r="C214" s="24" t="s">
        <v>875</v>
      </c>
      <c r="D214" s="24" t="s">
        <v>718</v>
      </c>
      <c r="E214" s="24" t="s">
        <v>719</v>
      </c>
      <c r="F214" s="24" t="s">
        <v>720</v>
      </c>
    </row>
    <row r="215">
      <c r="A215" s="24" t="s">
        <v>876</v>
      </c>
      <c r="B215" s="24" t="s">
        <v>877</v>
      </c>
      <c r="C215" s="24" t="s">
        <v>878</v>
      </c>
      <c r="D215" s="24" t="s">
        <v>718</v>
      </c>
      <c r="E215" s="24" t="s">
        <v>719</v>
      </c>
      <c r="F215" s="24" t="s">
        <v>720</v>
      </c>
    </row>
    <row r="216">
      <c r="A216" s="24" t="s">
        <v>879</v>
      </c>
      <c r="B216" s="24" t="s">
        <v>880</v>
      </c>
      <c r="C216" s="24" t="s">
        <v>881</v>
      </c>
      <c r="D216" s="24" t="s">
        <v>718</v>
      </c>
      <c r="E216" s="24" t="s">
        <v>719</v>
      </c>
      <c r="F216" s="24" t="s">
        <v>720</v>
      </c>
    </row>
    <row r="217">
      <c r="A217" s="24" t="s">
        <v>882</v>
      </c>
      <c r="B217" s="24" t="s">
        <v>883</v>
      </c>
      <c r="C217" s="24" t="s">
        <v>884</v>
      </c>
      <c r="D217" s="24" t="s">
        <v>718</v>
      </c>
      <c r="E217" s="24" t="s">
        <v>719</v>
      </c>
      <c r="F217" s="24" t="s">
        <v>720</v>
      </c>
    </row>
    <row r="218">
      <c r="A218" s="24" t="s">
        <v>885</v>
      </c>
      <c r="B218" s="24" t="s">
        <v>886</v>
      </c>
      <c r="C218" s="24" t="s">
        <v>887</v>
      </c>
      <c r="D218" s="24" t="s">
        <v>718</v>
      </c>
      <c r="E218" s="24" t="s">
        <v>719</v>
      </c>
      <c r="F218" s="24" t="s">
        <v>720</v>
      </c>
    </row>
    <row r="219">
      <c r="A219" s="24" t="s">
        <v>888</v>
      </c>
      <c r="B219" s="24" t="s">
        <v>889</v>
      </c>
      <c r="C219" s="24" t="s">
        <v>890</v>
      </c>
      <c r="D219" s="24" t="s">
        <v>718</v>
      </c>
      <c r="E219" s="24" t="s">
        <v>719</v>
      </c>
      <c r="F219" s="24" t="s">
        <v>720</v>
      </c>
    </row>
    <row r="220">
      <c r="A220" s="24" t="s">
        <v>891</v>
      </c>
      <c r="B220" s="24" t="s">
        <v>892</v>
      </c>
      <c r="C220" s="24" t="s">
        <v>893</v>
      </c>
      <c r="D220" s="24" t="s">
        <v>718</v>
      </c>
      <c r="E220" s="24" t="s">
        <v>719</v>
      </c>
      <c r="F220" s="24" t="s">
        <v>720</v>
      </c>
    </row>
    <row r="221">
      <c r="A221" s="24" t="s">
        <v>894</v>
      </c>
      <c r="B221" s="24" t="s">
        <v>895</v>
      </c>
      <c r="C221" s="24" t="s">
        <v>896</v>
      </c>
      <c r="D221" s="24" t="s">
        <v>718</v>
      </c>
      <c r="E221" s="24" t="s">
        <v>719</v>
      </c>
      <c r="F221" s="24" t="s">
        <v>720</v>
      </c>
    </row>
    <row r="222">
      <c r="A222" s="24" t="s">
        <v>897</v>
      </c>
      <c r="B222" s="24" t="s">
        <v>898</v>
      </c>
      <c r="C222" s="24" t="s">
        <v>899</v>
      </c>
      <c r="D222" s="24" t="s">
        <v>900</v>
      </c>
      <c r="E222" s="24" t="s">
        <v>719</v>
      </c>
      <c r="F222" s="24" t="s">
        <v>901</v>
      </c>
    </row>
    <row r="223">
      <c r="A223" s="24" t="s">
        <v>902</v>
      </c>
      <c r="B223" s="24" t="s">
        <v>903</v>
      </c>
      <c r="C223" s="24" t="s">
        <v>904</v>
      </c>
      <c r="D223" s="24" t="s">
        <v>718</v>
      </c>
      <c r="E223" s="24" t="s">
        <v>719</v>
      </c>
      <c r="F223" s="24" t="s">
        <v>720</v>
      </c>
    </row>
    <row r="224">
      <c r="A224" s="24" t="s">
        <v>905</v>
      </c>
      <c r="B224" s="24" t="s">
        <v>906</v>
      </c>
      <c r="C224" s="24" t="s">
        <v>907</v>
      </c>
      <c r="D224" s="24" t="s">
        <v>718</v>
      </c>
      <c r="E224" s="24" t="s">
        <v>719</v>
      </c>
      <c r="F224" s="24" t="s">
        <v>720</v>
      </c>
    </row>
    <row r="225">
      <c r="A225" s="24" t="s">
        <v>908</v>
      </c>
      <c r="B225" s="24" t="s">
        <v>909</v>
      </c>
      <c r="C225" s="24" t="s">
        <v>910</v>
      </c>
      <c r="D225" s="24" t="s">
        <v>718</v>
      </c>
      <c r="E225" s="24" t="s">
        <v>719</v>
      </c>
      <c r="F225" s="24" t="s">
        <v>720</v>
      </c>
    </row>
    <row r="226">
      <c r="A226" s="24" t="s">
        <v>911</v>
      </c>
      <c r="B226" s="24" t="s">
        <v>912</v>
      </c>
      <c r="C226" s="24" t="s">
        <v>913</v>
      </c>
      <c r="D226" s="24" t="s">
        <v>718</v>
      </c>
      <c r="E226" s="24" t="s">
        <v>719</v>
      </c>
      <c r="F226" s="24" t="s">
        <v>720</v>
      </c>
    </row>
    <row r="227">
      <c r="A227" s="24" t="s">
        <v>914</v>
      </c>
      <c r="B227" s="24" t="s">
        <v>915</v>
      </c>
      <c r="C227" s="24" t="s">
        <v>916</v>
      </c>
      <c r="D227" s="24" t="s">
        <v>718</v>
      </c>
      <c r="E227" s="24" t="s">
        <v>719</v>
      </c>
      <c r="F227" s="24" t="s">
        <v>720</v>
      </c>
    </row>
    <row r="228">
      <c r="A228" s="24" t="s">
        <v>917</v>
      </c>
      <c r="B228" s="24" t="s">
        <v>918</v>
      </c>
      <c r="C228" s="24" t="s">
        <v>919</v>
      </c>
      <c r="D228" s="24" t="s">
        <v>718</v>
      </c>
      <c r="E228" s="24" t="s">
        <v>719</v>
      </c>
      <c r="F228" s="24" t="s">
        <v>720</v>
      </c>
    </row>
    <row r="229">
      <c r="A229" s="24" t="s">
        <v>920</v>
      </c>
      <c r="B229" s="24" t="s">
        <v>921</v>
      </c>
      <c r="C229" s="24" t="s">
        <v>922</v>
      </c>
      <c r="D229" s="24" t="s">
        <v>718</v>
      </c>
      <c r="E229" s="24" t="s">
        <v>719</v>
      </c>
      <c r="F229" s="24" t="s">
        <v>720</v>
      </c>
    </row>
    <row r="230">
      <c r="A230" s="24" t="s">
        <v>923</v>
      </c>
      <c r="B230" s="24" t="s">
        <v>924</v>
      </c>
      <c r="C230" s="24" t="s">
        <v>925</v>
      </c>
      <c r="D230" s="24" t="s">
        <v>718</v>
      </c>
      <c r="E230" s="24" t="s">
        <v>719</v>
      </c>
      <c r="F230" s="24" t="s">
        <v>720</v>
      </c>
    </row>
    <row r="231">
      <c r="A231" s="24" t="s">
        <v>926</v>
      </c>
      <c r="B231" s="24" t="s">
        <v>927</v>
      </c>
      <c r="C231" s="24" t="s">
        <v>928</v>
      </c>
      <c r="D231" s="24" t="s">
        <v>718</v>
      </c>
      <c r="E231" s="24" t="s">
        <v>719</v>
      </c>
      <c r="F231" s="24" t="s">
        <v>720</v>
      </c>
    </row>
    <row r="232">
      <c r="A232" s="24" t="s">
        <v>929</v>
      </c>
      <c r="B232" s="24" t="s">
        <v>930</v>
      </c>
      <c r="C232" s="24" t="s">
        <v>931</v>
      </c>
      <c r="D232" s="24" t="s">
        <v>718</v>
      </c>
      <c r="E232" s="24" t="s">
        <v>719</v>
      </c>
      <c r="F232" s="24" t="s">
        <v>720</v>
      </c>
    </row>
    <row r="233">
      <c r="A233" s="24" t="s">
        <v>932</v>
      </c>
      <c r="B233" s="24" t="s">
        <v>933</v>
      </c>
      <c r="C233" s="24" t="s">
        <v>934</v>
      </c>
      <c r="D233" s="24" t="s">
        <v>718</v>
      </c>
      <c r="E233" s="24" t="s">
        <v>719</v>
      </c>
      <c r="F233" s="24" t="s">
        <v>720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38"/>
    <col customWidth="1" min="7" max="7" width="33.63"/>
  </cols>
  <sheetData>
    <row r="1">
      <c r="A1" s="28" t="s">
        <v>935</v>
      </c>
    </row>
    <row r="2">
      <c r="A2" s="13" t="s">
        <v>85</v>
      </c>
      <c r="B2" s="13" t="s">
        <v>12</v>
      </c>
      <c r="C2" s="29" t="s">
        <v>13</v>
      </c>
      <c r="D2" s="30">
        <v>0.4583333333333333</v>
      </c>
    </row>
    <row r="3">
      <c r="A3" s="13" t="s">
        <v>93</v>
      </c>
      <c r="B3" s="13" t="s">
        <v>32</v>
      </c>
      <c r="C3" s="29" t="s">
        <v>13</v>
      </c>
      <c r="D3" s="30">
        <v>0.3333333333333333</v>
      </c>
    </row>
    <row r="4">
      <c r="A4" s="13" t="s">
        <v>94</v>
      </c>
      <c r="B4" s="13" t="s">
        <v>36</v>
      </c>
      <c r="C4" s="29" t="s">
        <v>13</v>
      </c>
      <c r="D4" s="30">
        <v>0.4583333333333333</v>
      </c>
    </row>
    <row r="5">
      <c r="A5" s="13" t="s">
        <v>101</v>
      </c>
      <c r="B5" s="13" t="s">
        <v>45</v>
      </c>
      <c r="C5" s="29" t="s">
        <v>13</v>
      </c>
      <c r="D5" s="30">
        <v>0.3333333333333333</v>
      </c>
    </row>
    <row r="6">
      <c r="A6" s="13" t="s">
        <v>110</v>
      </c>
      <c r="B6" s="13" t="s">
        <v>59</v>
      </c>
      <c r="C6" s="29" t="s">
        <v>13</v>
      </c>
      <c r="D6" s="30">
        <v>0.3333333333333333</v>
      </c>
    </row>
    <row r="7">
      <c r="A7" s="13" t="s">
        <v>111</v>
      </c>
      <c r="B7" s="13" t="s">
        <v>61</v>
      </c>
      <c r="C7" s="29" t="s">
        <v>13</v>
      </c>
      <c r="D7" s="30">
        <v>0.4583333333333333</v>
      </c>
    </row>
    <row r="8">
      <c r="A8" s="13" t="s">
        <v>112</v>
      </c>
      <c r="B8" s="13" t="s">
        <v>64</v>
      </c>
      <c r="C8" s="29" t="s">
        <v>13</v>
      </c>
      <c r="D8" s="30">
        <v>0.5833333333333334</v>
      </c>
    </row>
    <row r="9">
      <c r="D9" s="27"/>
    </row>
    <row r="10">
      <c r="D10" s="27"/>
    </row>
    <row r="11">
      <c r="D11" s="27"/>
    </row>
    <row r="12">
      <c r="D12" s="27"/>
    </row>
    <row r="14">
      <c r="A14" s="28" t="s">
        <v>936</v>
      </c>
    </row>
    <row r="15">
      <c r="A15" s="13" t="s">
        <v>87</v>
      </c>
      <c r="B15" s="13" t="s">
        <v>18</v>
      </c>
      <c r="C15" s="13" t="s">
        <v>19</v>
      </c>
      <c r="D15" s="30">
        <v>0.5833333333333334</v>
      </c>
    </row>
    <row r="16">
      <c r="A16" s="13" t="s">
        <v>89</v>
      </c>
      <c r="B16" s="13" t="s">
        <v>23</v>
      </c>
      <c r="C16" s="13" t="s">
        <v>19</v>
      </c>
      <c r="D16" s="30">
        <v>0.5833333333333334</v>
      </c>
    </row>
    <row r="17">
      <c r="A17" s="13" t="s">
        <v>97</v>
      </c>
      <c r="B17" s="13" t="s">
        <v>39</v>
      </c>
      <c r="C17" s="13" t="s">
        <v>19</v>
      </c>
      <c r="D17" s="30">
        <v>0.5833333333333334</v>
      </c>
    </row>
    <row r="18">
      <c r="A18" s="13" t="s">
        <v>99</v>
      </c>
      <c r="B18" s="13" t="s">
        <v>43</v>
      </c>
      <c r="C18" s="13" t="s">
        <v>19</v>
      </c>
      <c r="D18" s="30">
        <v>0.4583333333333333</v>
      </c>
    </row>
    <row r="19">
      <c r="A19" s="13" t="s">
        <v>104</v>
      </c>
      <c r="B19" s="13" t="s">
        <v>49</v>
      </c>
      <c r="C19" s="13" t="s">
        <v>19</v>
      </c>
      <c r="D19" s="30">
        <v>0.3333333333333333</v>
      </c>
    </row>
    <row r="20">
      <c r="A20" s="13" t="s">
        <v>105</v>
      </c>
      <c r="B20" s="13" t="s">
        <v>51</v>
      </c>
      <c r="C20" s="13" t="s">
        <v>19</v>
      </c>
      <c r="D20" s="30">
        <v>0.4583333333333333</v>
      </c>
    </row>
    <row r="21">
      <c r="A21" s="13" t="s">
        <v>107</v>
      </c>
      <c r="B21" s="13" t="s">
        <v>53</v>
      </c>
      <c r="C21" s="13" t="s">
        <v>19</v>
      </c>
      <c r="D21" s="30">
        <v>0.5833333333333334</v>
      </c>
    </row>
    <row r="22">
      <c r="A22" s="13" t="s">
        <v>109</v>
      </c>
      <c r="B22" s="13" t="s">
        <v>56</v>
      </c>
      <c r="C22" s="13" t="s">
        <v>19</v>
      </c>
      <c r="D22" s="30">
        <v>0.3333333333333333</v>
      </c>
    </row>
    <row r="23">
      <c r="D23" s="27"/>
    </row>
    <row r="24">
      <c r="D24" s="27"/>
    </row>
    <row r="25">
      <c r="D25" s="27"/>
    </row>
    <row r="26">
      <c r="D26" s="27"/>
    </row>
    <row r="28">
      <c r="F28" s="24" t="s">
        <v>937</v>
      </c>
      <c r="G28" s="24" t="s">
        <v>938</v>
      </c>
    </row>
  </sheetData>
  <mergeCells count="2">
    <mergeCell ref="A1:D1"/>
    <mergeCell ref="A14:D14"/>
  </mergeCells>
  <drawing r:id="rId1"/>
</worksheet>
</file>